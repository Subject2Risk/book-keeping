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6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BMW!$A$1:$K$102</definedName>
    <definedName name="already_paid">'Swim Budget'!$A$44</definedName>
    <definedName name="annual_budget">'Swim Budget'!$A$43</definedName>
    <definedName name="family">Reference!$A$2:$A$6</definedName>
    <definedName name="hotel_cost">'Swim Budget'!$A$38</definedName>
    <definedName name="installments_remain">'Swim Budget'!$A$45</definedName>
    <definedName name="pets">Reference!$C$2:$C$6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A16" i="2" l="1"/>
  <c r="J16" i="2" s="1"/>
  <c r="G18" i="2"/>
  <c r="A15" i="2"/>
  <c r="J15" i="2" s="1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7" i="2"/>
  <c r="G14" i="2"/>
  <c r="G13" i="2"/>
  <c r="G12" i="2"/>
  <c r="G11" i="2"/>
  <c r="G10" i="2"/>
  <c r="G9" i="2"/>
  <c r="G8" i="2"/>
  <c r="G7" i="2"/>
  <c r="G6" i="2"/>
  <c r="G5" i="2"/>
  <c r="G4" i="2"/>
  <c r="G3" i="2"/>
  <c r="M15" i="2"/>
  <c r="M16" i="2"/>
  <c r="M24" i="2"/>
  <c r="M23" i="2"/>
  <c r="D21" i="2"/>
  <c r="J21" i="2"/>
  <c r="M21" i="2"/>
  <c r="D22" i="2"/>
  <c r="J22" i="2"/>
  <c r="M22" i="2"/>
  <c r="J23" i="2"/>
  <c r="D24" i="2"/>
  <c r="J24" i="2"/>
  <c r="D25" i="2"/>
  <c r="J25" i="2"/>
  <c r="M25" i="2"/>
  <c r="D26" i="2"/>
  <c r="J26" i="2"/>
  <c r="M26" i="2"/>
  <c r="D27" i="2"/>
  <c r="J27" i="2"/>
  <c r="M27" i="2"/>
  <c r="D28" i="2"/>
  <c r="J28" i="2"/>
  <c r="M28" i="2"/>
  <c r="D29" i="2"/>
  <c r="J29" i="2"/>
  <c r="M29" i="2"/>
  <c r="D30" i="2"/>
  <c r="J30" i="2"/>
  <c r="M30" i="2"/>
  <c r="D31" i="2"/>
  <c r="J31" i="2"/>
  <c r="M31" i="2"/>
  <c r="D32" i="2"/>
  <c r="J32" i="2"/>
  <c r="M32" i="2"/>
  <c r="D33" i="2"/>
  <c r="J33" i="2"/>
  <c r="M33" i="2"/>
  <c r="D34" i="2"/>
  <c r="J34" i="2"/>
  <c r="M34" i="2"/>
  <c r="D35" i="2"/>
  <c r="J35" i="2"/>
  <c r="M35" i="2"/>
  <c r="D36" i="2"/>
  <c r="J36" i="2"/>
  <c r="M36" i="2"/>
  <c r="D37" i="2"/>
  <c r="J37" i="2"/>
  <c r="M37" i="2"/>
  <c r="D38" i="2"/>
  <c r="J38" i="2"/>
  <c r="M38" i="2"/>
  <c r="D39" i="2"/>
  <c r="J39" i="2"/>
  <c r="M39" i="2"/>
  <c r="D40" i="2"/>
  <c r="J40" i="2"/>
  <c r="M40" i="2"/>
  <c r="D41" i="2"/>
  <c r="J41" i="2"/>
  <c r="M41" i="2"/>
  <c r="D42" i="2"/>
  <c r="J42" i="2"/>
  <c r="M42" i="2"/>
  <c r="M20" i="2"/>
  <c r="J20" i="2"/>
  <c r="D20" i="2"/>
  <c r="D16" i="2" l="1"/>
  <c r="G16" i="2"/>
  <c r="D15" i="2"/>
  <c r="G15" i="2"/>
  <c r="D23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4" i="7"/>
  <c r="G24" i="7"/>
  <c r="D24" i="7"/>
  <c r="K23" i="7"/>
  <c r="G23" i="7"/>
  <c r="D23" i="7"/>
  <c r="K22" i="7"/>
  <c r="G22" i="7"/>
  <c r="D22" i="7"/>
  <c r="K21" i="7"/>
  <c r="G21" i="7"/>
  <c r="D21" i="7"/>
  <c r="K20" i="7"/>
  <c r="G20" i="7"/>
  <c r="D20" i="7"/>
  <c r="K19" i="7"/>
  <c r="G19" i="7"/>
  <c r="D19" i="7"/>
  <c r="K18" i="7"/>
  <c r="G18" i="7"/>
  <c r="D18" i="7"/>
  <c r="K17" i="7"/>
  <c r="G17" i="7"/>
  <c r="D17" i="7"/>
  <c r="K16" i="7"/>
  <c r="G16" i="7"/>
  <c r="D16" i="7"/>
  <c r="K15" i="7"/>
  <c r="G15" i="7"/>
  <c r="D15" i="7"/>
  <c r="K14" i="7"/>
  <c r="G14" i="7"/>
  <c r="D14" i="7"/>
  <c r="K13" i="7"/>
  <c r="G13" i="7"/>
  <c r="D13" i="7"/>
  <c r="K12" i="7"/>
  <c r="G12" i="7"/>
  <c r="D12" i="7"/>
  <c r="K11" i="7"/>
  <c r="G11" i="7"/>
  <c r="D11" i="7"/>
  <c r="K10" i="7"/>
  <c r="G10" i="7"/>
  <c r="D10" i="7"/>
  <c r="K9" i="7"/>
  <c r="G9" i="7"/>
  <c r="D9" i="7"/>
  <c r="K8" i="7"/>
  <c r="G8" i="7"/>
  <c r="D8" i="7"/>
  <c r="K7" i="7"/>
  <c r="G7" i="7"/>
  <c r="D7" i="7"/>
  <c r="K6" i="7"/>
  <c r="G6" i="7"/>
  <c r="D6" i="7"/>
  <c r="K5" i="7"/>
  <c r="G5" i="7"/>
  <c r="D5" i="7"/>
  <c r="K4" i="7"/>
  <c r="G4" i="7"/>
  <c r="D4" i="7"/>
  <c r="K3" i="7"/>
  <c r="G3" i="7"/>
  <c r="D3" i="7"/>
  <c r="A11" i="3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D15" i="5"/>
  <c r="G15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4" i="5"/>
  <c r="D14" i="5"/>
  <c r="G13" i="5"/>
  <c r="D13" i="5"/>
  <c r="G12" i="5"/>
  <c r="D12" i="5"/>
  <c r="G11" i="5"/>
  <c r="D11" i="5"/>
  <c r="G10" i="5"/>
  <c r="D10" i="5"/>
  <c r="G9" i="5"/>
  <c r="D9" i="5"/>
  <c r="G8" i="5"/>
  <c r="D8" i="5"/>
  <c r="G7" i="5"/>
  <c r="D7" i="5"/>
  <c r="D6" i="5"/>
  <c r="G6" i="5"/>
  <c r="G5" i="5"/>
  <c r="G4" i="5"/>
  <c r="G3" i="5"/>
  <c r="D3" i="5"/>
  <c r="D5" i="5" l="1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R1" i="1"/>
  <c r="G88" i="1"/>
  <c r="A12" i="4" l="1"/>
  <c r="M4" i="2"/>
  <c r="J4" i="2"/>
  <c r="D4" i="2"/>
  <c r="J19" i="2"/>
  <c r="J18" i="2"/>
  <c r="J17" i="2"/>
  <c r="J14" i="2"/>
  <c r="J13" i="2"/>
  <c r="J12" i="2"/>
  <c r="J11" i="2"/>
  <c r="J10" i="2"/>
  <c r="J9" i="2"/>
  <c r="J8" i="2"/>
  <c r="J7" i="2"/>
  <c r="J6" i="2"/>
  <c r="J5" i="2"/>
  <c r="J3" i="2"/>
  <c r="D5" i="2"/>
  <c r="D6" i="2"/>
  <c r="D7" i="2"/>
  <c r="M8" i="2"/>
  <c r="D9" i="2"/>
  <c r="D10" i="2"/>
  <c r="D11" i="2"/>
  <c r="M12" i="2"/>
  <c r="M13" i="2"/>
  <c r="M14" i="2"/>
  <c r="D17" i="2"/>
  <c r="M18" i="2"/>
  <c r="M19" i="2"/>
  <c r="D3" i="2"/>
  <c r="A43" i="4" l="1"/>
  <c r="D8" i="2"/>
  <c r="D18" i="2"/>
  <c r="D14" i="2"/>
  <c r="M10" i="2"/>
  <c r="M9" i="2"/>
  <c r="D13" i="2"/>
  <c r="M5" i="2"/>
  <c r="M6" i="2"/>
  <c r="D19" i="2"/>
  <c r="D12" i="2"/>
  <c r="M17" i="2"/>
  <c r="M7" i="2"/>
  <c r="M11" i="2"/>
  <c r="M3" i="2"/>
  <c r="K82" i="1"/>
  <c r="C50" i="4" l="1"/>
  <c r="C49" i="4"/>
  <c r="C51" i="4"/>
  <c r="C47" i="4"/>
  <c r="C46" i="4"/>
  <c r="C45" i="4"/>
  <c r="D75" i="1"/>
  <c r="G75" i="1"/>
  <c r="O2" i="1"/>
  <c r="R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7" i="1" l="1"/>
  <c r="G97" i="1"/>
  <c r="D98" i="1"/>
  <c r="G98" i="1"/>
  <c r="D99" i="1"/>
  <c r="G99" i="1"/>
  <c r="D100" i="1"/>
  <c r="G100" i="1"/>
  <c r="D101" i="1"/>
  <c r="G101" i="1"/>
  <c r="D102" i="1"/>
  <c r="G102" i="1"/>
  <c r="G96" i="1"/>
  <c r="G95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5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<sst xmlns="http://schemas.openxmlformats.org/spreadsheetml/2006/main" count="355" uniqueCount="156">
  <si>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</si>
  <si>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</si>
  <si>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</si>
  <si>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</si>
  <si>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</si>
  <si>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</si>
  <si>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</si>
  <si>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</si>
  <si>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</si>
  <si>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</si>
  <si>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</si>
  <si>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</si>
  <si>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</si>
  <si>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</si>
  <si>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</si>
  <si>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</si>
  <si>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</si>
  <si>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</si>
  <si>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</si>
  <si>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</si>
  <si>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</si>
  <si>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</si>
  <si>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</si>
  <si>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</si>
  <si>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</si>
  <si>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</si>
  <si>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</si>
  <si>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</si>
  <si>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</si>
  <si>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</si>
  <si>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</si>
  <si>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</si>
  <si>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</si>
  <si>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</si>
  <si>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</si>
  <si>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</si>
  <si>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</si>
  <si>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</si>
  <si>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</si>
  <si>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</si>
  <si>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</si>
  <si>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</si>
  <si>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</si>
  <si>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</si>
  <si>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</si>
  <si>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</si>
  <si>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</si>
  <si>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</si>
  <si>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</si>
  <si>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</si>
  <si>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</si>
  <si>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</si>
  <si>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</si>
  <si>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</si>
  <si>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</si>
  <si>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</si>
  <si>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</si>
  <si>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</si>
  <si>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</si>
  <si>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</si>
  <si>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</si>
  <si>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</si>
  <si>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</si>
  <si>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</si>
  <si>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</si>
  <si>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</si>
  <si>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</si>
  <si>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</si>
  <si>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</si>
  <si>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</si>
  <si>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</si>
  <si>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</si>
  <si>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</si>
  <si>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</si>
  <si>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</si>
  <si>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</si>
  <si>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</si>
  <si>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</si>
  <si>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</si>
  <si>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</si>
  <si>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</si>
  <si>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</si>
  <si>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</si>
  <si>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</si>
  <si>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</si>
  <si>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</si>
  <si>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</si>
  <si>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</si>
  <si>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</si>
  <si>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</si>
  <si>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</si>
  <si>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</si>
  <si>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</si>
  <si>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</si>
  <si>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</si>
  <si>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</si>
  <si>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</si>
  <si>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</si>
  <si>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</si>
  <si>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</si>
  <si>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</si>
  <si>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</si>
  <si>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</si>
  <si>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</si>
  <si>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</si>
  <si>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</si>
  <si>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</si>
  <si>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</si>
  <si>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</si>
  <si>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</si>
  <si>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</si>
  <si>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</si>
  <si>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</si>
  <si>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</si>
  <si>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</si>
  <si>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Payments Remaining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</si>
  <si>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</si>
  <si>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</si>
  <si>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</si>
  <si>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</si>
  <si>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</si>
  <si>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</si>
  <si>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</si>
  <si>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</si>
  <si>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</si>
  <si>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</si>
  <si>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</si>
  <si>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</si>
  <si>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</si>
  <si>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</si>
  <si>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</si>
  <si>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</si>
  <si>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</si>
  <si>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</si>
  <si>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</si>
  <si>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</si>
  <si>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</si>
  <si>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</si>
  <si>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</si>
  <si>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</si>
  <si>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</si>
  <si>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</si>
  <si>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</si>
  <si>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</si>
  <si>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</si>
  <si>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</si>
  <si>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</si>
  <si>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</si>
  <si>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</si>
  <si>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</si>
  <si>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</si>
  <si>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</si>
  <si>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</si>
  <si>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</si>
  <si>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Tranining Camp Downpayment</t>
  </si>
  <si>
    <t>Watter and Smoothie bottles (4 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</si>
</sst>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34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0" fontId="0" fillId="0" borderId="10" xfId="0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0" xfId="0" applyFill="1" applyBorder="1" applyAlignment="1" applyProtection="1">
      <alignment horizontal="left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0" xfId="0" applyBorder="1" applyAlignment="1" applyProtection="1">
      <alignment horizontal="left" vertical="center"/>
    </xf>
    <xf numFmtId="0" fontId="9" fillId="0" borderId="23" xfId="0" applyFont="1" applyBorder="1" applyAlignment="1" applyProtection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R227"/>
  <sheetViews>
    <sheetView workbookViewId="0">
      <pane ySplit="900" topLeftCell="A70" activePane="bottomLeft"/>
      <selection activeCell="R2" sqref="R2"/>
      <selection pane="bottomLeft" activeCell="A97" sqref="A97"/>
    </sheetView>
  </sheetViews>
  <sheetFormatPr defaultRowHeight="15" x14ac:dyDescent="0.25"/>
  <cols>
    <col min="1" max="1" width="27.85546875" bestFit="1" customWidth="1"/>
    <col min="2" max="2" width="10.5703125" style="3" bestFit="1" customWidth="1"/>
    <col min="3" max="3" width="10.5703125" style="17" bestFit="1" customWidth="1"/>
    <col min="4" max="4" width="7.85546875" style="4" bestFit="1" customWidth="1"/>
    <col min="5" max="5" width="10.5703125" style="3" bestFit="1" customWidth="1"/>
    <col min="6" max="6" width="10.5703125" style="17" bestFit="1" customWidth="1"/>
    <col min="7" max="7" width="9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  <col min="18" max="18" width="9.7109375" bestFit="1" customWidth="1"/>
  </cols>
  <sheetData>
    <row r="1" spans="1:18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17</v>
      </c>
      <c r="J1" s="108" t="s">
        <v>19</v>
      </c>
      <c r="K1" s="108" t="s">
        <v>3</v>
      </c>
      <c r="M1" t="s">
        <v>14</v>
      </c>
      <c r="N1" s="32">
        <v>222.42</v>
      </c>
      <c r="O1" s="32"/>
      <c r="R1" s="34">
        <f>SUM(B$3:B201)-SUM(C$3:C201)-N1</f>
        <v>82.96999999999943</v>
      </c>
    </row>
    <row r="2" spans="1:18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  <c r="M2" t="s">
        <v>13</v>
      </c>
      <c r="N2" s="32">
        <v>82.97</v>
      </c>
      <c r="O2" s="33">
        <f>N2+N1</f>
        <v>305.39</v>
      </c>
      <c r="P2" t="s">
        <v>55</v>
      </c>
      <c r="R2" s="34">
        <f>SUM(B$3:B201)-SUM(C$3:C201)-O2</f>
        <v>-5.6843418860808015E-13</v>
      </c>
    </row>
    <row r="3" spans="1:18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9</v>
      </c>
      <c r="K3" s="22" t="s">
        <v>6</v>
      </c>
    </row>
    <row r="4" spans="1:18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14</v>
      </c>
      <c r="K4" s="22" t="s">
        <v>7</v>
      </c>
    </row>
    <row r="5" spans="1:18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10</v>
      </c>
      <c r="K5" s="22" t="s">
        <v>20</v>
      </c>
    </row>
    <row r="6" spans="1:18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18</v>
      </c>
      <c r="K6" s="23" t="s">
        <v>7</v>
      </c>
    </row>
    <row r="7" spans="1:18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18</v>
      </c>
      <c r="K7" s="23" t="s">
        <v>20</v>
      </c>
    </row>
    <row r="8" spans="1:18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26</v>
      </c>
      <c r="K8" s="23" t="s">
        <v>27</v>
      </c>
    </row>
    <row r="9" spans="1:18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28</v>
      </c>
      <c r="K9" s="22"/>
    </row>
    <row r="10" spans="1:18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8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28</v>
      </c>
      <c r="K11" s="22"/>
    </row>
    <row r="12" spans="1:18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26</v>
      </c>
      <c r="K12" s="23" t="s">
        <v>27</v>
      </c>
    </row>
    <row r="13" spans="1:18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10</v>
      </c>
      <c r="K13" s="23" t="s">
        <v>27</v>
      </c>
    </row>
    <row r="14" spans="1:18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21</v>
      </c>
      <c r="K14" s="23" t="s">
        <v>8</v>
      </c>
    </row>
    <row r="15" spans="1:18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18</v>
      </c>
      <c r="K15" s="22" t="s">
        <v>8</v>
      </c>
    </row>
    <row r="16" spans="1:18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9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9</v>
      </c>
      <c r="K17" s="22" t="s">
        <v>37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10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22</v>
      </c>
      <c r="K20" s="23" t="s">
        <v>11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18</v>
      </c>
      <c r="K21" s="22" t="s">
        <v>11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23</v>
      </c>
      <c r="K22" s="22" t="s">
        <v>12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10</v>
      </c>
      <c r="K23" s="22" t="s">
        <v>35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13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14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15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9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42</v>
      </c>
      <c r="K28" s="22" t="s">
        <v>16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18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10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18</v>
      </c>
      <c r="K31" s="23" t="s">
        <v>10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29</v>
      </c>
      <c r="K32" s="23" t="s">
        <v>30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14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15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9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9</v>
      </c>
      <c r="K36" s="23" t="s">
        <v>37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18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15</v>
      </c>
      <c r="K38" s="23" t="s">
        <v>24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9</v>
      </c>
      <c r="K39" s="22" t="s">
        <v>25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10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28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10</v>
      </c>
      <c r="K42" s="23" t="s">
        <v>31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10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26</v>
      </c>
      <c r="K44" s="23" t="s">
        <v>32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28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28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28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29</v>
      </c>
      <c r="K48" s="23" t="s">
        <v>33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10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28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29</v>
      </c>
      <c r="K51" s="28" t="s">
        <v>34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14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15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10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9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10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10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28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9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18</v>
      </c>
      <c r="K60" s="23" t="s">
        <v>41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18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14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39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10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9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10</v>
      </c>
      <c r="K66" s="23" t="s">
        <v>31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13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42</v>
      </c>
      <c r="K68" s="23" t="s">
        <v>43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38</v>
      </c>
      <c r="K69" s="22" t="s">
        <v>40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18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9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28</v>
      </c>
      <c r="K72" s="23" t="s">
        <v>44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14</v>
      </c>
      <c r="K73" s="23"/>
    </row>
    <row r="74" spans="1:11" x14ac:dyDescent="0.25">
      <c r="A74" s="12">
        <v>42962</v>
      </c>
      <c r="B74" s="9">
        <v>450</v>
      </c>
      <c r="C74" s="15"/>
      <c r="D74" s="19">
        <f>IF(NOT(ISBLANK($A74)),SUM(B$3:B75)-SUM(C$3:C75),"")</f>
        <v>532.96999999999935</v>
      </c>
      <c r="E74" s="9"/>
      <c r="F74" s="15"/>
      <c r="G74" s="19">
        <f>IF(NOT(ISBLANK($A74)),SUM(E$3:E75)-SUM(F$3:F75),"")</f>
        <v>-678.05000000000018</v>
      </c>
      <c r="H74" s="10"/>
      <c r="I74" s="21"/>
      <c r="J74" s="10" t="s">
        <v>9</v>
      </c>
      <c r="K74" s="23"/>
    </row>
    <row r="75" spans="1:11" x14ac:dyDescent="0.25">
      <c r="A75" s="11">
        <v>42964</v>
      </c>
      <c r="B75" s="7"/>
      <c r="C75" s="14"/>
      <c r="D75" s="18">
        <f>IF(NOT(ISBLANK($A75)),SUM(B$3:B75)-SUM(C$3:C75),"")</f>
        <v>532.96999999999935</v>
      </c>
      <c r="E75" s="7"/>
      <c r="F75" s="14">
        <v>187.58</v>
      </c>
      <c r="G75" s="18">
        <f>IF(NOT(ISBLANK($A75)),SUM(E$3:E75)-SUM(F$3:F75),"")</f>
        <v>-678.05000000000018</v>
      </c>
      <c r="H75" s="8" t="b">
        <v>1</v>
      </c>
      <c r="I75" s="20">
        <v>64493</v>
      </c>
      <c r="J75" s="8" t="s">
        <v>45</v>
      </c>
      <c r="K75" s="22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10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10</v>
      </c>
      <c r="K77" s="22"/>
    </row>
    <row r="78" spans="1:11" x14ac:dyDescent="0.25">
      <c r="A78" s="12">
        <v>42970</v>
      </c>
      <c r="B78" s="9"/>
      <c r="C78" s="15"/>
      <c r="D78" s="19">
        <f>IF(NOT(ISBLANK($A78)),SUM(B$3:B78)-SUM(C$3:C78),"")</f>
        <v>532.96999999999935</v>
      </c>
      <c r="E78" s="9"/>
      <c r="F78" s="15">
        <v>53</v>
      </c>
      <c r="G78" s="19">
        <f>IF(NOT(ISBLANK($A78)),SUM(E$3:E78)-SUM(F$3:F78),"")</f>
        <v>-784.07000000000016</v>
      </c>
      <c r="H78" s="10" t="b">
        <v>1</v>
      </c>
      <c r="I78" s="21">
        <v>65220</v>
      </c>
      <c r="J78" s="10" t="s">
        <v>10</v>
      </c>
      <c r="K78" s="23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 t="b">
        <v>1</v>
      </c>
      <c r="I79" s="21">
        <v>65764</v>
      </c>
      <c r="J79" s="10" t="s">
        <v>10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10</v>
      </c>
      <c r="K80" s="23"/>
    </row>
    <row r="81" spans="1:11" x14ac:dyDescent="0.25">
      <c r="A81" s="11">
        <v>42971</v>
      </c>
      <c r="B81" s="7"/>
      <c r="C81" s="14">
        <v>222.42</v>
      </c>
      <c r="D81" s="18">
        <f>IF(NOT(ISBLANK($A81)),SUM(B$3:B81)-SUM(C$3:C81),"")</f>
        <v>310.54999999999927</v>
      </c>
      <c r="E81" s="7"/>
      <c r="F81" s="14"/>
      <c r="G81" s="18">
        <f>IF(NOT(ISBLANK($A81)),SUM(E$3:E81)-SUM(F$3:F81),"")</f>
        <v>-811.22000000000071</v>
      </c>
      <c r="H81" s="8"/>
      <c r="I81" s="20"/>
      <c r="J81" s="8" t="s">
        <v>14</v>
      </c>
      <c r="K81" s="22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10</v>
      </c>
      <c r="K82" s="22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18</v>
      </c>
      <c r="K83" s="22"/>
    </row>
    <row r="84" spans="1:11" x14ac:dyDescent="0.25">
      <c r="A84" s="12">
        <v>42977</v>
      </c>
      <c r="B84" s="9">
        <v>450</v>
      </c>
      <c r="C84" s="15"/>
      <c r="D84" s="19">
        <f>IF(NOT(ISBLANK($A84)),SUM(B$3:B84)-SUM(C$3:C84),"")</f>
        <v>449.99999999999909</v>
      </c>
      <c r="E84" s="9"/>
      <c r="F84" s="15"/>
      <c r="G84" s="19">
        <f>IF(NOT(ISBLANK($A84)),SUM(E$3:E84)-SUM(F$3:F84),"")</f>
        <v>-539.07000000000016</v>
      </c>
      <c r="H84" s="10"/>
      <c r="I84" s="21"/>
      <c r="J84" s="10" t="s">
        <v>9</v>
      </c>
      <c r="K84" s="23"/>
    </row>
    <row r="85" spans="1:11" x14ac:dyDescent="0.25">
      <c r="A85" s="12">
        <v>42983</v>
      </c>
      <c r="B85" s="9"/>
      <c r="C85" s="15"/>
      <c r="D85" s="19">
        <f>IF(NOT(ISBLANK($A85)),SUM(B$3:B85)-SUM(C$3:C85),"")</f>
        <v>449.99999999999909</v>
      </c>
      <c r="E85" s="9"/>
      <c r="F85" s="15">
        <v>3</v>
      </c>
      <c r="G85" s="19">
        <f>IF(NOT(ISBLANK($A85)),SUM(E$3:E85)-SUM(F$3:F85),"")</f>
        <v>-542.07000000000016</v>
      </c>
      <c r="H85" s="10"/>
      <c r="I85" s="21"/>
      <c r="J85" s="10" t="s">
        <v>28</v>
      </c>
      <c r="K85" s="23"/>
    </row>
    <row r="86" spans="1:11" x14ac:dyDescent="0.25">
      <c r="A86" s="12">
        <v>42983</v>
      </c>
      <c r="B86" s="9"/>
      <c r="C86" s="15">
        <v>144.61000000000001</v>
      </c>
      <c r="D86" s="19">
        <f>IF(NOT(ISBLANK($A86)),SUM(B$3:B86)-SUM(C$3:C86),"")</f>
        <v>305.38999999999942</v>
      </c>
      <c r="E86" s="9">
        <v>144.61000000000001</v>
      </c>
      <c r="F86" s="15"/>
      <c r="G86" s="19">
        <f>IF(NOT(ISBLANK($A86)),SUM(E$3:E86)-SUM(F$3:F86),"")</f>
        <v>-397.46000000000004</v>
      </c>
      <c r="H86" s="10"/>
      <c r="I86" s="21"/>
      <c r="J86" s="10" t="s">
        <v>18</v>
      </c>
      <c r="K86" s="23"/>
    </row>
    <row r="87" spans="1:11" x14ac:dyDescent="0.25">
      <c r="A87" s="11">
        <v>42985</v>
      </c>
      <c r="B87" s="7"/>
      <c r="C87" s="14">
        <v>82.97</v>
      </c>
      <c r="D87" s="18">
        <f>IF(NOT(ISBLANK($A87)),SUM(B$3:B87)-SUM(C$3:C87),"")</f>
        <v>222.41999999999916</v>
      </c>
      <c r="E87" s="7"/>
      <c r="F87" s="14"/>
      <c r="G87" s="18">
        <f>IF(NOT(ISBLANK($A87)),SUM(E$3:E87)-SUM(F$3:F87),"")</f>
        <v>-397.46000000000004</v>
      </c>
      <c r="H87" s="8"/>
      <c r="I87" s="20"/>
      <c r="J87" s="8" t="s">
        <v>13</v>
      </c>
      <c r="K87" s="22"/>
    </row>
    <row r="88" spans="1:11" x14ac:dyDescent="0.25">
      <c r="A88" s="11">
        <v>42985</v>
      </c>
      <c r="B88" s="7"/>
      <c r="C88" s="14"/>
      <c r="D88" s="18">
        <f>IF(NOT(ISBLANK($A88)),SUM(B$3:B88)-SUM(C$3:C88),"")</f>
        <v>222.41999999999916</v>
      </c>
      <c r="E88" s="7"/>
      <c r="F88" s="14">
        <v>75</v>
      </c>
      <c r="G88" s="18">
        <f>IF(NOT(ISBLANK($A88)),SUM(E$3:E88)-SUM(F$3:F88),"")</f>
        <v>-472.46000000000004</v>
      </c>
      <c r="H88" s="8" t="b">
        <v>1</v>
      </c>
      <c r="I88" s="20">
        <v>66364</v>
      </c>
      <c r="J88" s="8" t="s">
        <v>10</v>
      </c>
      <c r="K88" s="22"/>
    </row>
    <row r="89" spans="1:11" x14ac:dyDescent="0.25">
      <c r="A89" s="11">
        <v>42987</v>
      </c>
      <c r="B89" s="7"/>
      <c r="C89" s="14">
        <v>222.42</v>
      </c>
      <c r="D89" s="18">
        <f>IF(NOT(ISBLANK($A89)),SUM(B$3:B89)-SUM(C$3:C89),"")</f>
        <v>-9.0949470177292824E-13</v>
      </c>
      <c r="E89" s="7"/>
      <c r="F89" s="14"/>
      <c r="G89" s="18">
        <f>IF(NOT(ISBLANK($A89)),SUM(E$3:E89)-SUM(F$3:F89),"")</f>
        <v>-472.46000000000004</v>
      </c>
      <c r="H89" s="8"/>
      <c r="I89" s="20"/>
      <c r="J89" s="8" t="s">
        <v>14</v>
      </c>
      <c r="K89" s="22"/>
    </row>
    <row r="90" spans="1:11" x14ac:dyDescent="0.25">
      <c r="A90" s="12">
        <v>42992</v>
      </c>
      <c r="B90" s="9"/>
      <c r="C90" s="15"/>
      <c r="D90" s="19">
        <f>IF(NOT(ISBLANK($A90)),SUM(B$3:B90)-SUM(C$3:C90),"")</f>
        <v>-9.0949470177292824E-13</v>
      </c>
      <c r="E90" s="9"/>
      <c r="F90" s="15">
        <v>42.93</v>
      </c>
      <c r="G90" s="19">
        <f>IF(NOT(ISBLANK($A90)),SUM(E$3:E90)-SUM(F$3:F90),"")</f>
        <v>-515.39000000000033</v>
      </c>
      <c r="H90" s="10" t="b">
        <v>1</v>
      </c>
      <c r="I90" s="21">
        <v>66796</v>
      </c>
      <c r="J90" s="10" t="s">
        <v>39</v>
      </c>
      <c r="K90" s="23"/>
    </row>
    <row r="91" spans="1:11" x14ac:dyDescent="0.25">
      <c r="A91" s="12">
        <v>42995</v>
      </c>
      <c r="B91" s="9"/>
      <c r="C91" s="15"/>
      <c r="D91" s="19">
        <f>IF(NOT(ISBLANK($A91)),SUM(B$3:B91)-SUM(C$3:C91),"")</f>
        <v>-9.0949470177292824E-13</v>
      </c>
      <c r="E91" s="9"/>
      <c r="F91" s="15">
        <v>67</v>
      </c>
      <c r="G91" s="19">
        <f>IF(NOT(ISBLANK($A91)),SUM(E$3:E91)-SUM(F$3:F91),"")</f>
        <v>-582.39000000000033</v>
      </c>
      <c r="H91" s="10" t="b">
        <v>1</v>
      </c>
      <c r="I91" s="21">
        <v>66883</v>
      </c>
      <c r="J91" s="10" t="s">
        <v>10</v>
      </c>
      <c r="K91" s="23"/>
    </row>
    <row r="92" spans="1:11" x14ac:dyDescent="0.25">
      <c r="A92" s="12">
        <v>42996</v>
      </c>
      <c r="B92" s="9">
        <v>450</v>
      </c>
      <c r="C92" s="15"/>
      <c r="D92" s="19">
        <f>IF(NOT(ISBLANK($A92)),SUM(B$3:B92)-SUM(C$3:C92),"")</f>
        <v>449.99999999999909</v>
      </c>
      <c r="E92" s="9"/>
      <c r="F92" s="15"/>
      <c r="G92" s="19">
        <f>IF(NOT(ISBLANK($A92)),SUM(E$3:E92)-SUM(F$3:F92),"")</f>
        <v>-582.39000000000033</v>
      </c>
      <c r="H92" s="10"/>
      <c r="I92" s="21"/>
      <c r="J92" s="10" t="s">
        <v>9</v>
      </c>
      <c r="K92" s="23"/>
    </row>
    <row r="93" spans="1:11" x14ac:dyDescent="0.25">
      <c r="A93" s="11">
        <v>42996</v>
      </c>
      <c r="B93" s="7"/>
      <c r="C93" s="14">
        <v>227.58</v>
      </c>
      <c r="D93" s="18">
        <f>IF(NOT(ISBLANK($A93)),SUM(B$3:B93)-SUM(C$3:C93),"")</f>
        <v>222.41999999999916</v>
      </c>
      <c r="E93" s="7">
        <v>227.58</v>
      </c>
      <c r="F93" s="14"/>
      <c r="G93" s="18">
        <f>IF(NOT(ISBLANK($A93)),SUM(E$3:E93)-SUM(F$3:F93),"")</f>
        <v>-354.8100000000004</v>
      </c>
      <c r="H93" s="8"/>
      <c r="I93" s="20"/>
      <c r="J93" s="8" t="s">
        <v>18</v>
      </c>
      <c r="K93" s="22"/>
    </row>
    <row r="94" spans="1:11" x14ac:dyDescent="0.25">
      <c r="A94" s="11">
        <v>42999</v>
      </c>
      <c r="B94" s="7"/>
      <c r="C94" s="14">
        <v>222.42</v>
      </c>
      <c r="D94" s="18">
        <f>IF(NOT(ISBLANK($A94)),SUM(B$3:B94)-SUM(C$3:C94),"")</f>
        <v>-9.0949470177292824E-13</v>
      </c>
      <c r="E94" s="7"/>
      <c r="F94" s="14"/>
      <c r="G94" s="18">
        <f>IF(NOT(ISBLANK($A94)),SUM(E$3:E94)-SUM(F$3:F94),"")</f>
        <v>-354.8100000000004</v>
      </c>
      <c r="H94" s="8"/>
      <c r="I94" s="20"/>
      <c r="J94" s="8" t="s">
        <v>14</v>
      </c>
      <c r="K94" s="22"/>
    </row>
    <row r="95" spans="1:11" x14ac:dyDescent="0.25">
      <c r="A95" s="11">
        <v>43011</v>
      </c>
      <c r="B95" s="7">
        <v>500</v>
      </c>
      <c r="C95" s="14"/>
      <c r="D95" s="18">
        <f>IF(NOT(ISBLANK($A95)),SUM(B$3:B95)-SUM(C$3:C95),"")</f>
        <v>499.99999999999909</v>
      </c>
      <c r="E95" s="7"/>
      <c r="F95" s="14"/>
      <c r="G95" s="18">
        <f>IF(NOT(ISBLANK($A95)),SUM(E$3:E95)-SUM(F$3:F95),"")</f>
        <v>-354.8100000000004</v>
      </c>
      <c r="H95" s="8"/>
      <c r="I95" s="20"/>
      <c r="J95" s="8" t="s">
        <v>9</v>
      </c>
      <c r="K95" s="22"/>
    </row>
    <row r="96" spans="1:11" x14ac:dyDescent="0.25">
      <c r="A96" s="12">
        <v>43011</v>
      </c>
      <c r="B96" s="9"/>
      <c r="C96" s="15">
        <v>194.61</v>
      </c>
      <c r="D96" s="19">
        <f>IF(NOT(ISBLANK($A96)),SUM(B$3:B96)-SUM(C$3:C96),"")</f>
        <v>305.38999999999942</v>
      </c>
      <c r="E96" s="9">
        <v>194.61</v>
      </c>
      <c r="F96" s="15"/>
      <c r="G96" s="19">
        <f>IF(NOT(ISBLANK($A96)),SUM(E$3:E96)-SUM(F$3:F96),"")</f>
        <v>-160.20000000000073</v>
      </c>
      <c r="H96" s="10"/>
      <c r="I96" s="21"/>
      <c r="J96" s="10" t="s">
        <v>18</v>
      </c>
      <c r="K96" s="23"/>
    </row>
    <row r="97" spans="1:11" x14ac:dyDescent="0.25">
      <c r="A97" s="12"/>
      <c r="B97" s="9"/>
      <c r="C97" s="15"/>
      <c r="D97" s="19" t="str">
        <f>IF(NOT(ISBLANK($A97)),SUM(B$3:B97)-SUM(C$3:C97),"")</f>
        <v/>
      </c>
      <c r="E97" s="9"/>
      <c r="F97" s="15"/>
      <c r="G97" s="19" t="str">
        <f>IF(NOT(ISBLANK($A97)),SUM(E$3:E97)-SUM(F$3:F97),"")</f>
        <v/>
      </c>
      <c r="H97" s="10"/>
      <c r="I97" s="21"/>
      <c r="J97" s="10"/>
      <c r="K97" s="23"/>
    </row>
    <row r="98" spans="1:11" x14ac:dyDescent="0.25">
      <c r="A98" s="12"/>
      <c r="B98" s="9"/>
      <c r="C98" s="15"/>
      <c r="D98" s="19" t="str">
        <f>IF(NOT(ISBLANK($A98)),SUM(B$3:B98)-SUM(C$3:C98),"")</f>
        <v/>
      </c>
      <c r="E98" s="9"/>
      <c r="F98" s="15"/>
      <c r="G98" s="19" t="str">
        <f>IF(NOT(ISBLANK($A98)),SUM(E$3:E98)-SUM(F$3:F98),"")</f>
        <v/>
      </c>
      <c r="H98" s="10"/>
      <c r="I98" s="21"/>
      <c r="J98" s="10"/>
      <c r="K98" s="23"/>
    </row>
    <row r="99" spans="1:11" x14ac:dyDescent="0.25">
      <c r="A99" s="11"/>
      <c r="B99" s="7"/>
      <c r="C99" s="14"/>
      <c r="D99" s="18" t="str">
        <f>IF(NOT(ISBLANK($A99)),SUM(B$3:B99)-SUM(C$3:C99),"")</f>
        <v/>
      </c>
      <c r="E99" s="7"/>
      <c r="F99" s="14"/>
      <c r="G99" s="18" t="str">
        <f>IF(NOT(ISBLANK($A99)),SUM(E$3:E99)-SUM(F$3:F99),"")</f>
        <v/>
      </c>
      <c r="H99" s="8"/>
      <c r="I99" s="20"/>
      <c r="J99" s="8"/>
      <c r="K99" s="22"/>
    </row>
    <row r="100" spans="1:11" x14ac:dyDescent="0.25">
      <c r="A100" s="11"/>
      <c r="B100" s="7"/>
      <c r="C100" s="14"/>
      <c r="D100" s="18" t="str">
        <f>IF(NOT(ISBLANK($A100)),SUM(B$3:B100)-SUM(C$3:C100),"")</f>
        <v/>
      </c>
      <c r="E100" s="7"/>
      <c r="F100" s="14"/>
      <c r="G100" s="18" t="str">
        <f>IF(NOT(ISBLANK($A100)),SUM(E$3:E100)-SUM(F$3:F100),"")</f>
        <v/>
      </c>
      <c r="H100" s="8"/>
      <c r="I100" s="20"/>
      <c r="J100" s="8"/>
      <c r="K100" s="22"/>
    </row>
    <row r="101" spans="1:11" x14ac:dyDescent="0.25">
      <c r="A101" s="11"/>
      <c r="B101" s="7"/>
      <c r="C101" s="14"/>
      <c r="D101" s="18" t="str">
        <f>IF(NOT(ISBLANK($A101)),SUM(B$3:B101)-SUM(C$3:C101),"")</f>
        <v/>
      </c>
      <c r="E101" s="7"/>
      <c r="F101" s="14"/>
      <c r="G101" s="18" t="str">
        <f>IF(NOT(ISBLANK($A101)),SUM(E$3:E101)-SUM(F$3:F101),"")</f>
        <v/>
      </c>
      <c r="H101" s="8"/>
      <c r="I101" s="20"/>
      <c r="J101" s="8"/>
      <c r="K101" s="22"/>
    </row>
    <row r="102" spans="1:11" x14ac:dyDescent="0.25">
      <c r="A102" s="12"/>
      <c r="B102" s="9"/>
      <c r="C102" s="15"/>
      <c r="D102" s="19" t="str">
        <f>IF(NOT(ISBLANK($A102)),SUM(B$3:B102)-SUM(C$3:C102),"")</f>
        <v/>
      </c>
      <c r="E102" s="9"/>
      <c r="F102" s="15"/>
      <c r="G102" s="19" t="str">
        <f>IF(NOT(ISBLANK($A102)),SUM(E$3:E102)-SUM(F$3:F102),"")</f>
        <v/>
      </c>
      <c r="H102" s="10"/>
      <c r="I102" s="21"/>
      <c r="J102" s="10"/>
      <c r="K102" s="23"/>
    </row>
    <row r="103" spans="1:11" x14ac:dyDescent="0.25">
      <c r="A103" s="12"/>
      <c r="B103" s="9"/>
      <c r="C103" s="15"/>
      <c r="D103" s="19"/>
      <c r="E103" s="9"/>
      <c r="F103" s="15"/>
      <c r="G103" s="19"/>
      <c r="H103" s="10"/>
      <c r="I103" s="21"/>
      <c r="J103" s="10"/>
      <c r="K103" s="23"/>
    </row>
    <row r="104" spans="1:11" x14ac:dyDescent="0.25">
      <c r="A104" s="12"/>
      <c r="B104" s="9"/>
      <c r="C104" s="15"/>
      <c r="D104" s="19"/>
      <c r="E104" s="9"/>
      <c r="F104" s="15"/>
      <c r="G104" s="19"/>
      <c r="H104" s="10"/>
      <c r="I104" s="21"/>
      <c r="J104" s="10"/>
      <c r="K104" s="23"/>
    </row>
    <row r="105" spans="1:11" x14ac:dyDescent="0.25">
      <c r="B105" s="1"/>
      <c r="C105" s="16"/>
      <c r="D105" s="2"/>
      <c r="E105" s="1"/>
      <c r="F105" s="16"/>
      <c r="G105" s="2"/>
    </row>
    <row r="106" spans="1:11" x14ac:dyDescent="0.25">
      <c r="B106" s="1"/>
      <c r="C106" s="16"/>
      <c r="D106" s="2"/>
      <c r="E106" s="1"/>
      <c r="F106" s="16"/>
      <c r="G106" s="2"/>
    </row>
    <row r="107" spans="1:11" x14ac:dyDescent="0.25">
      <c r="B107" s="1"/>
      <c r="C107" s="16"/>
      <c r="D107" s="2"/>
      <c r="E107" s="1"/>
      <c r="F107" s="16"/>
      <c r="G107" s="2"/>
    </row>
    <row r="108" spans="1:11" x14ac:dyDescent="0.25">
      <c r="B108" s="1"/>
      <c r="C108" s="16"/>
      <c r="D108" s="2"/>
      <c r="E108" s="1"/>
      <c r="F108" s="16"/>
      <c r="G108" s="2"/>
    </row>
    <row r="109" spans="1:11" x14ac:dyDescent="0.25">
      <c r="B109" s="1"/>
      <c r="C109" s="16"/>
      <c r="D109" s="2"/>
      <c r="E109" s="1"/>
      <c r="F109" s="16"/>
      <c r="G109" s="2"/>
    </row>
    <row r="110" spans="1:11" x14ac:dyDescent="0.25">
      <c r="B110" s="1"/>
      <c r="C110" s="16"/>
      <c r="D110" s="2"/>
      <c r="E110" s="1"/>
      <c r="F110" s="16"/>
      <c r="G110" s="2"/>
    </row>
    <row r="111" spans="1:11" x14ac:dyDescent="0.25">
      <c r="B111" s="1"/>
      <c r="C111" s="16"/>
      <c r="D111" s="2"/>
      <c r="E111" s="1"/>
      <c r="F111" s="16"/>
      <c r="G111" s="2"/>
    </row>
    <row r="112" spans="1:11" x14ac:dyDescent="0.25">
      <c r="B112" s="1"/>
      <c r="C112" s="16"/>
      <c r="D112" s="2"/>
      <c r="E112" s="1"/>
      <c r="F112" s="16"/>
      <c r="G112" s="2"/>
    </row>
    <row r="113" spans="2:7" x14ac:dyDescent="0.25">
      <c r="B113" s="1"/>
      <c r="C113" s="16"/>
      <c r="D113" s="2"/>
      <c r="E113" s="1"/>
      <c r="F113" s="16"/>
      <c r="G113" s="2"/>
    </row>
    <row r="114" spans="2:7" x14ac:dyDescent="0.25">
      <c r="B114" s="1"/>
      <c r="C114" s="16"/>
      <c r="D114" s="2"/>
      <c r="E114" s="1"/>
      <c r="F114" s="16"/>
      <c r="G114" s="2"/>
    </row>
    <row r="115" spans="2:7" x14ac:dyDescent="0.25">
      <c r="B115" s="1"/>
      <c r="C115" s="16"/>
      <c r="D115" s="2"/>
      <c r="E115" s="1"/>
      <c r="F115" s="16"/>
      <c r="G115" s="2"/>
    </row>
    <row r="116" spans="2:7" x14ac:dyDescent="0.25">
      <c r="B116" s="1"/>
      <c r="C116" s="16"/>
      <c r="D116" s="2"/>
      <c r="E116" s="1"/>
      <c r="F116" s="16"/>
      <c r="G116" s="2"/>
    </row>
    <row r="117" spans="2:7" x14ac:dyDescent="0.25">
      <c r="B117" s="1"/>
      <c r="C117" s="16"/>
      <c r="D117" s="2"/>
      <c r="E117" s="1"/>
      <c r="F117" s="16"/>
      <c r="G117" s="2"/>
    </row>
    <row r="118" spans="2:7" x14ac:dyDescent="0.25">
      <c r="B118" s="1"/>
      <c r="C118" s="16"/>
      <c r="D118" s="2"/>
      <c r="E118" s="1"/>
      <c r="F118" s="16"/>
      <c r="G118" s="2"/>
    </row>
    <row r="119" spans="2:7" x14ac:dyDescent="0.25">
      <c r="B119" s="1"/>
      <c r="C119" s="16"/>
      <c r="D119" s="2"/>
      <c r="E119" s="1"/>
      <c r="F119" s="16"/>
      <c r="G119" s="2"/>
    </row>
    <row r="120" spans="2:7" x14ac:dyDescent="0.25">
      <c r="B120" s="1"/>
      <c r="C120" s="16"/>
      <c r="D120" s="2"/>
      <c r="E120" s="1"/>
      <c r="F120" s="16"/>
      <c r="G120" s="2"/>
    </row>
    <row r="121" spans="2:7" x14ac:dyDescent="0.25">
      <c r="B121" s="1"/>
      <c r="C121" s="16"/>
      <c r="D121" s="2"/>
      <c r="E121" s="1"/>
      <c r="F121" s="16"/>
      <c r="G121" s="2"/>
    </row>
    <row r="122" spans="2:7" x14ac:dyDescent="0.25">
      <c r="B122" s="1"/>
      <c r="C122" s="16"/>
      <c r="D122" s="2"/>
      <c r="E122" s="1"/>
      <c r="F122" s="16"/>
      <c r="G122" s="2"/>
    </row>
    <row r="123" spans="2:7" x14ac:dyDescent="0.25">
      <c r="B123" s="1"/>
      <c r="C123" s="16"/>
      <c r="D123" s="2"/>
      <c r="E123" s="1"/>
      <c r="F123" s="16"/>
      <c r="G123" s="2"/>
    </row>
    <row r="124" spans="2:7" x14ac:dyDescent="0.25">
      <c r="B124" s="1"/>
      <c r="C124" s="16"/>
      <c r="D124" s="2"/>
      <c r="E124" s="1"/>
      <c r="F124" s="16"/>
      <c r="G124" s="2"/>
    </row>
    <row r="125" spans="2:7" x14ac:dyDescent="0.25">
      <c r="B125" s="1"/>
      <c r="C125" s="16"/>
      <c r="D125" s="2"/>
      <c r="E125" s="1"/>
      <c r="F125" s="16"/>
      <c r="G125" s="2"/>
    </row>
    <row r="126" spans="2:7" x14ac:dyDescent="0.25">
      <c r="B126" s="1"/>
      <c r="C126" s="16"/>
      <c r="D126" s="2"/>
      <c r="E126" s="1"/>
      <c r="F126" s="16"/>
      <c r="G126" s="2"/>
    </row>
    <row r="127" spans="2:7" x14ac:dyDescent="0.25">
      <c r="B127" s="1"/>
      <c r="C127" s="16"/>
      <c r="D127" s="2"/>
      <c r="E127" s="1"/>
      <c r="F127" s="16"/>
      <c r="G127" s="2"/>
    </row>
    <row r="128" spans="2:7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  <row r="227" spans="2:7" x14ac:dyDescent="0.25">
      <c r="B227" s="1"/>
      <c r="C227" s="16"/>
      <c r="D227" s="2"/>
      <c r="E227" s="1"/>
      <c r="F227" s="16"/>
      <c r="G227" s="2"/>
    </row>
  </sheetData>
  <sortState ref="A69:O81">
    <sortCondition ref="A69:A81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42"/>
  <sheetViews>
    <sheetView workbookViewId="0">
      <selection activeCell="A14" sqref="A14"/>
    </sheetView>
  </sheetViews>
  <sheetFormatPr defaultRowHeight="15" x14ac:dyDescent="0.25"/>
  <cols>
    <col min="1" max="1" width="30.42578125" bestFit="1" customWidth="1"/>
    <col min="2" max="3" width="10.5703125" bestFit="1" customWidth="1"/>
    <col min="5" max="6" width="10.5703125" bestFit="1" customWidth="1"/>
    <col min="8" max="9" width="10.5703125" bestFit="1" customWidth="1"/>
    <col min="11" max="12" width="10.5703125" bestFit="1" customWidth="1"/>
    <col min="15" max="15" width="32.7109375" bestFit="1" customWidth="1"/>
  </cols>
  <sheetData>
    <row r="1" spans="1:15" x14ac:dyDescent="0.25">
      <c r="A1" s="108" t="s">
        <v>0</v>
      </c>
      <c r="B1" s="110" t="s">
        <v>1</v>
      </c>
      <c r="C1" s="111"/>
      <c r="D1" s="112"/>
      <c r="E1" s="110" t="s">
        <v>47</v>
      </c>
      <c r="F1" s="111"/>
      <c r="G1" s="112"/>
      <c r="H1" s="110" t="s">
        <v>47</v>
      </c>
      <c r="I1" s="111"/>
      <c r="J1" s="112"/>
      <c r="K1" s="110" t="s">
        <v>46</v>
      </c>
      <c r="L1" s="111"/>
      <c r="M1" s="112"/>
      <c r="N1" s="108" t="s">
        <v>19</v>
      </c>
      <c r="O1" s="108" t="s">
        <v>3</v>
      </c>
    </row>
    <row r="2" spans="1:15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5" t="s">
        <v>4</v>
      </c>
      <c r="L2" s="13" t="s">
        <v>5</v>
      </c>
      <c r="M2" s="6" t="s">
        <v>36</v>
      </c>
      <c r="N2" s="109"/>
      <c r="O2" s="109"/>
    </row>
    <row r="3" spans="1:15" x14ac:dyDescent="0.25">
      <c r="A3" s="11">
        <v>42979</v>
      </c>
      <c r="B3" s="7"/>
      <c r="C3" s="14"/>
      <c r="D3" s="18">
        <f>IF(NOT(ISBLANK($A3)),SUM(B$3:B3)-SUM(C$3:C3),"")</f>
        <v>0</v>
      </c>
      <c r="E3" s="7"/>
      <c r="F3" s="14"/>
      <c r="G3" s="18">
        <f>IF(NOT(ISBLANK($A3)),SUM(E$3:E3)-SUM(F$3:F3),"")</f>
        <v>0</v>
      </c>
      <c r="H3" s="7"/>
      <c r="I3" s="14"/>
      <c r="J3" s="18">
        <f>IF(NOT(ISBLANK($A3)),SUM(H$3:H3)-SUM(I$3:I3),"")</f>
        <v>0</v>
      </c>
      <c r="K3" s="7"/>
      <c r="L3" s="14">
        <v>2862.19</v>
      </c>
      <c r="M3" s="18">
        <f>IF(NOT(ISBLANK($A3)),SUM(K$3:K3)-SUM(L$3:L3),"")</f>
        <v>-2862.19</v>
      </c>
      <c r="N3" s="8" t="s">
        <v>49</v>
      </c>
      <c r="O3" s="22" t="s">
        <v>6</v>
      </c>
    </row>
    <row r="4" spans="1:15" x14ac:dyDescent="0.25">
      <c r="A4" s="11">
        <v>42979</v>
      </c>
      <c r="B4" s="7"/>
      <c r="C4" s="14"/>
      <c r="D4" s="18">
        <f>IF(NOT(ISBLANK($A4)),SUM(B$3:B4)-SUM(C$3:C4),"")</f>
        <v>0</v>
      </c>
      <c r="E4" s="7"/>
      <c r="F4" s="14"/>
      <c r="G4" s="18">
        <f>IF(NOT(ISBLANK($A4)),SUM(E$3:E4)-SUM(F$3:F4),"")</f>
        <v>0</v>
      </c>
      <c r="H4" s="7"/>
      <c r="I4" s="14">
        <v>103.96</v>
      </c>
      <c r="J4" s="18">
        <f>IF(NOT(ISBLANK($A4)),SUM(H$3:H4)-SUM(I$3:I4),"")</f>
        <v>-103.96</v>
      </c>
      <c r="K4" s="7"/>
      <c r="L4" s="14"/>
      <c r="M4" s="18">
        <f>IF(NOT(ISBLANK($A4)),SUM(K$3:K4)-SUM(L$3:L4),"")</f>
        <v>-2862.19</v>
      </c>
      <c r="N4" s="8" t="s">
        <v>53</v>
      </c>
      <c r="O4" s="22" t="s">
        <v>48</v>
      </c>
    </row>
    <row r="5" spans="1:15" x14ac:dyDescent="0.25">
      <c r="A5" s="12">
        <v>42980</v>
      </c>
      <c r="B5" s="9">
        <v>3000</v>
      </c>
      <c r="C5" s="15"/>
      <c r="D5" s="19">
        <f>IF(NOT(ISBLANK($A5)),SUM(B$3:B5)-SUM(C$3:C5),"")</f>
        <v>3000</v>
      </c>
      <c r="E5" s="9"/>
      <c r="F5" s="15"/>
      <c r="G5" s="19">
        <f>IF(NOT(ISBLANK($A5)),SUM(E$3:E5)-SUM(F$3:F5),"")</f>
        <v>0</v>
      </c>
      <c r="H5" s="9"/>
      <c r="I5" s="15"/>
      <c r="J5" s="19">
        <f>IF(NOT(ISBLANK($A5)),SUM(H$3:H5)-SUM(I$3:I5),"")</f>
        <v>-103.96</v>
      </c>
      <c r="K5" s="9"/>
      <c r="L5" s="15"/>
      <c r="M5" s="19">
        <f>IF(NOT(ISBLANK($A5)),SUM(K$3:K5)-SUM(L$3:L5),"")</f>
        <v>-2862.19</v>
      </c>
      <c r="N5" s="10" t="s">
        <v>9</v>
      </c>
      <c r="O5" s="23"/>
    </row>
    <row r="6" spans="1:15" x14ac:dyDescent="0.25">
      <c r="A6" s="12">
        <v>42980</v>
      </c>
      <c r="B6" s="9"/>
      <c r="C6" s="15">
        <v>103.96</v>
      </c>
      <c r="D6" s="19">
        <f>IF(NOT(ISBLANK($A6)),SUM(B$3:B6)-SUM(C$3:C6),"")</f>
        <v>2896.04</v>
      </c>
      <c r="E6" s="9"/>
      <c r="F6" s="15"/>
      <c r="G6" s="19">
        <f>IF(NOT(ISBLANK($A6)),SUM(E$3:E6)-SUM(F$3:F6),"")</f>
        <v>0</v>
      </c>
      <c r="H6" s="9">
        <v>103.96</v>
      </c>
      <c r="I6" s="15"/>
      <c r="J6" s="19">
        <f>IF(NOT(ISBLANK($A6)),SUM(H$3:H6)-SUM(I$3:I6),"")</f>
        <v>0</v>
      </c>
      <c r="K6" s="9"/>
      <c r="L6" s="15"/>
      <c r="M6" s="19">
        <f>IF(NOT(ISBLANK($A6)),SUM(K$3:K6)-SUM(L$3:L6),"")</f>
        <v>-2862.19</v>
      </c>
      <c r="N6" s="10" t="s">
        <v>18</v>
      </c>
      <c r="O6" s="23"/>
    </row>
    <row r="7" spans="1:15" x14ac:dyDescent="0.25">
      <c r="A7" s="11">
        <v>42983</v>
      </c>
      <c r="B7" s="7"/>
      <c r="C7" s="14">
        <v>2862.19</v>
      </c>
      <c r="D7" s="18">
        <f>IF(NOT(ISBLANK($A7)),SUM(B$3:B7)-SUM(C$3:C7),"")</f>
        <v>33.849999999999909</v>
      </c>
      <c r="E7" s="7"/>
      <c r="F7" s="14"/>
      <c r="G7" s="18">
        <f>IF(NOT(ISBLANK($A7)),SUM(E$3:E7)-SUM(F$3:F7),"")</f>
        <v>0</v>
      </c>
      <c r="H7" s="7"/>
      <c r="I7" s="14"/>
      <c r="J7" s="18">
        <f>IF(NOT(ISBLANK($A7)),SUM(H$3:H7)-SUM(I$3:I7),"")</f>
        <v>0</v>
      </c>
      <c r="K7" s="7">
        <v>2862.19</v>
      </c>
      <c r="L7" s="14"/>
      <c r="M7" s="18">
        <f>IF(NOT(ISBLANK($A7)),SUM(K$3:K7)-SUM(L$3:L7),"")</f>
        <v>0</v>
      </c>
      <c r="N7" s="8" t="s">
        <v>14</v>
      </c>
      <c r="O7" s="22"/>
    </row>
    <row r="8" spans="1:15" x14ac:dyDescent="0.25">
      <c r="A8" s="11">
        <v>42984</v>
      </c>
      <c r="B8" s="7"/>
      <c r="C8" s="14"/>
      <c r="D8" s="18">
        <f>IF(NOT(ISBLANK($A8)),SUM(B$3:B8)-SUM(C$3:C8),"")</f>
        <v>33.849999999999909</v>
      </c>
      <c r="E8" s="7"/>
      <c r="F8" s="14"/>
      <c r="G8" s="18">
        <f>IF(NOT(ISBLANK($A8)),SUM(E$3:E8)-SUM(F$3:F8),"")</f>
        <v>0</v>
      </c>
      <c r="H8" s="7"/>
      <c r="I8" s="14">
        <v>36.159999999999997</v>
      </c>
      <c r="J8" s="18">
        <f>IF(NOT(ISBLANK($A8)),SUM(H$3:H8)-SUM(I$3:I8),"")</f>
        <v>-36.160000000000011</v>
      </c>
      <c r="K8" s="7"/>
      <c r="L8" s="14"/>
      <c r="M8" s="18">
        <f>IF(NOT(ISBLANK($A8)),SUM(K$3:K8)-SUM(L$3:L8),"")</f>
        <v>0</v>
      </c>
      <c r="N8" s="8" t="s">
        <v>53</v>
      </c>
      <c r="O8" s="22" t="s">
        <v>50</v>
      </c>
    </row>
    <row r="9" spans="1:15" x14ac:dyDescent="0.25">
      <c r="A9" s="12">
        <v>42986</v>
      </c>
      <c r="B9" s="9"/>
      <c r="C9" s="15"/>
      <c r="D9" s="19">
        <f>IF(NOT(ISBLANK($A9)),SUM(B$3:B9)-SUM(C$3:C9),"")</f>
        <v>33.849999999999909</v>
      </c>
      <c r="E9" s="9"/>
      <c r="F9" s="15"/>
      <c r="G9" s="19">
        <f>IF(NOT(ISBLANK($A9)),SUM(E$3:E9)-SUM(F$3:F9),"")</f>
        <v>0</v>
      </c>
      <c r="H9" s="9"/>
      <c r="I9" s="15">
        <v>20</v>
      </c>
      <c r="J9" s="19">
        <f>IF(NOT(ISBLANK($A9)),SUM(H$3:H9)-SUM(I$3:I9),"")</f>
        <v>-56.160000000000011</v>
      </c>
      <c r="K9" s="9"/>
      <c r="L9" s="15"/>
      <c r="M9" s="19">
        <f>IF(NOT(ISBLANK($A9)),SUM(K$3:K9)-SUM(L$3:L9),"")</f>
        <v>0</v>
      </c>
      <c r="N9" s="10" t="s">
        <v>51</v>
      </c>
      <c r="O9" s="23" t="s">
        <v>52</v>
      </c>
    </row>
    <row r="10" spans="1:15" x14ac:dyDescent="0.25">
      <c r="A10" s="12">
        <v>42989</v>
      </c>
      <c r="B10" s="9"/>
      <c r="C10" s="15">
        <v>20</v>
      </c>
      <c r="D10" s="19">
        <f>IF(NOT(ISBLANK($A10)),SUM(B$3:B10)-SUM(C$3:C10),"")</f>
        <v>13.849999999999909</v>
      </c>
      <c r="E10" s="9"/>
      <c r="F10" s="15"/>
      <c r="G10" s="19">
        <f>IF(NOT(ISBLANK($A10)),SUM(E$3:E10)-SUM(F$3:F10),"")</f>
        <v>0</v>
      </c>
      <c r="H10" s="9">
        <v>20</v>
      </c>
      <c r="I10" s="15"/>
      <c r="J10" s="19">
        <f>IF(NOT(ISBLANK($A10)),SUM(H$3:H10)-SUM(I$3:I10),"")</f>
        <v>-36.160000000000011</v>
      </c>
      <c r="K10" s="9"/>
      <c r="L10" s="15"/>
      <c r="M10" s="19">
        <f>IF(NOT(ISBLANK($A10)),SUM(K$3:K10)-SUM(L$3:L10),"")</f>
        <v>0</v>
      </c>
      <c r="N10" s="10" t="s">
        <v>14</v>
      </c>
      <c r="O10" s="23"/>
    </row>
    <row r="11" spans="1:15" x14ac:dyDescent="0.25">
      <c r="A11" s="11">
        <v>42995</v>
      </c>
      <c r="B11" s="7"/>
      <c r="C11" s="14">
        <v>128.26</v>
      </c>
      <c r="D11" s="18">
        <f>IF(NOT(ISBLANK($A11)),SUM(B$3:B11)-SUM(C$3:C11),"")</f>
        <v>-114.40999999999985</v>
      </c>
      <c r="E11" s="7"/>
      <c r="F11" s="14"/>
      <c r="G11" s="18">
        <f>IF(NOT(ISBLANK($A11)),SUM(E$3:E11)-SUM(F$3:F11),"")</f>
        <v>0</v>
      </c>
      <c r="H11" s="7">
        <v>128.26</v>
      </c>
      <c r="I11" s="14"/>
      <c r="J11" s="18">
        <f>IF(NOT(ISBLANK($A11)),SUM(H$3:H11)-SUM(I$3:I11),"")</f>
        <v>92.099999999999966</v>
      </c>
      <c r="K11" s="7"/>
      <c r="L11" s="14"/>
      <c r="M11" s="18">
        <f>IF(NOT(ISBLANK($A11)),SUM(K$3:K11)-SUM(L$3:L11),"")</f>
        <v>0</v>
      </c>
      <c r="N11" s="8" t="s">
        <v>14</v>
      </c>
      <c r="O11" s="22"/>
    </row>
    <row r="12" spans="1:15" x14ac:dyDescent="0.25">
      <c r="A12" s="11">
        <v>42996</v>
      </c>
      <c r="B12" s="7"/>
      <c r="C12" s="14"/>
      <c r="D12" s="18">
        <f>IF(NOT(ISBLANK($A12)),SUM(B$3:B12)-SUM(C$3:C12),"")</f>
        <v>-114.40999999999985</v>
      </c>
      <c r="E12" s="7"/>
      <c r="F12" s="14"/>
      <c r="G12" s="18">
        <f>IF(NOT(ISBLANK($A12)),SUM(E$3:E12)-SUM(F$3:F12),"")</f>
        <v>0</v>
      </c>
      <c r="H12" s="7"/>
      <c r="I12" s="14">
        <v>92.1</v>
      </c>
      <c r="J12" s="18">
        <f>IF(NOT(ISBLANK($A12)),SUM(H$3:H12)-SUM(I$3:I12),"")</f>
        <v>-2.8421709430404007E-14</v>
      </c>
      <c r="K12" s="7"/>
      <c r="L12" s="14"/>
      <c r="M12" s="18">
        <f>IF(NOT(ISBLANK($A12)),SUM(K$3:K12)-SUM(L$3:L12),"")</f>
        <v>0</v>
      </c>
      <c r="N12" s="8" t="s">
        <v>53</v>
      </c>
      <c r="O12" s="22" t="s">
        <v>54</v>
      </c>
    </row>
    <row r="13" spans="1:15" x14ac:dyDescent="0.25">
      <c r="A13" s="12">
        <v>42996</v>
      </c>
      <c r="B13" s="9">
        <v>950</v>
      </c>
      <c r="C13" s="15"/>
      <c r="D13" s="19">
        <f>IF(NOT(ISBLANK($A13)),SUM(B$3:B13)-SUM(C$3:C13),"")</f>
        <v>835.59000000000015</v>
      </c>
      <c r="E13" s="9"/>
      <c r="F13" s="15"/>
      <c r="G13" s="19">
        <f>IF(NOT(ISBLANK($A13)),SUM(E$3:E13)-SUM(F$3:F13),"")</f>
        <v>0</v>
      </c>
      <c r="H13" s="9"/>
      <c r="I13" s="15"/>
      <c r="J13" s="19">
        <f>IF(NOT(ISBLANK($A13)),SUM(H$3:H13)-SUM(I$3:I13),"")</f>
        <v>-2.8421709430404007E-14</v>
      </c>
      <c r="K13" s="9"/>
      <c r="L13" s="15"/>
      <c r="M13" s="19">
        <f>IF(NOT(ISBLANK($A13)),SUM(K$3:K13)-SUM(L$3:L13),"")</f>
        <v>0</v>
      </c>
      <c r="N13" s="10" t="s">
        <v>9</v>
      </c>
      <c r="O13" s="23"/>
    </row>
    <row r="14" spans="1:15" x14ac:dyDescent="0.25">
      <c r="A14" s="12">
        <v>43009</v>
      </c>
      <c r="B14" s="9"/>
      <c r="C14" s="15"/>
      <c r="D14" s="19">
        <f>IF(NOT(ISBLANK($A14)),SUM(B$3:B14)-SUM(C$3:C14),"")</f>
        <v>835.59000000000015</v>
      </c>
      <c r="E14" s="9"/>
      <c r="F14" s="15"/>
      <c r="G14" s="19">
        <f>IF(NOT(ISBLANK($A14)),SUM(E$3:E14)-SUM(F$3:F14),"")</f>
        <v>0</v>
      </c>
      <c r="H14" s="9"/>
      <c r="I14" s="15"/>
      <c r="J14" s="19">
        <f>IF(NOT(ISBLANK($A14)),SUM(H$3:H14)-SUM(I$3:I14),"")</f>
        <v>-2.8421709430404007E-14</v>
      </c>
      <c r="K14" s="9"/>
      <c r="L14" s="15">
        <v>1673.14</v>
      </c>
      <c r="M14" s="19">
        <f>IF(NOT(ISBLANK($A14)),SUM(K$3:K14)-SUM(L$3:L14),"")</f>
        <v>-1673.1399999999999</v>
      </c>
      <c r="N14" s="10" t="s">
        <v>49</v>
      </c>
      <c r="O14" s="23"/>
    </row>
    <row r="15" spans="1:15" x14ac:dyDescent="0.25">
      <c r="A15" s="11">
        <f>A14</f>
        <v>43009</v>
      </c>
      <c r="B15" s="7"/>
      <c r="C15" s="14"/>
      <c r="D15" s="18">
        <f>IF(NOT(ISBLANK($A15)),SUM(B$3:B15)-SUM(C$3:C15),"")</f>
        <v>835.59000000000015</v>
      </c>
      <c r="E15" s="7"/>
      <c r="F15" s="14">
        <v>40.630000000000003</v>
      </c>
      <c r="G15" s="18">
        <f>IF(NOT(ISBLANK($A15)),SUM(E$3:E15)-SUM(F$3:F15),"")</f>
        <v>-40.630000000000003</v>
      </c>
      <c r="H15" s="7"/>
      <c r="I15" s="14"/>
      <c r="J15" s="18">
        <f>IF(NOT(ISBLANK($A15)),SUM(H$3:H15)-SUM(I$3:I15),"")</f>
        <v>-2.8421709430404007E-14</v>
      </c>
      <c r="K15" s="7"/>
      <c r="L15" s="14"/>
      <c r="M15" s="18">
        <f>IF(NOT(ISBLANK($A15)),SUM(K$3:K15)-SUM(L$3:L15),"")</f>
        <v>-1673.1399999999999</v>
      </c>
      <c r="N15" s="8" t="s">
        <v>53</v>
      </c>
      <c r="O15" s="22" t="s">
        <v>155</v>
      </c>
    </row>
    <row r="16" spans="1:15" x14ac:dyDescent="0.25">
      <c r="A16" s="11">
        <f>A15</f>
        <v>43009</v>
      </c>
      <c r="B16" s="7"/>
      <c r="C16" s="14">
        <v>40.630000000000003</v>
      </c>
      <c r="D16" s="18">
        <f>IF(NOT(ISBLANK($A16)),SUM(B$3:B16)-SUM(C$3:C16),"")</f>
        <v>794.96</v>
      </c>
      <c r="E16" s="7">
        <v>40.630000000000003</v>
      </c>
      <c r="F16" s="14"/>
      <c r="G16" s="18">
        <f>IF(NOT(ISBLANK($A16)),SUM(E$3:E16)-SUM(F$3:F16),"")</f>
        <v>0</v>
      </c>
      <c r="H16" s="7"/>
      <c r="I16" s="14"/>
      <c r="J16" s="18">
        <f>IF(NOT(ISBLANK($A16)),SUM(H$3:H16)-SUM(I$3:I16),"")</f>
        <v>-2.8421709430404007E-14</v>
      </c>
      <c r="K16" s="7"/>
      <c r="L16" s="14"/>
      <c r="M16" s="18">
        <f>IF(NOT(ISBLANK($A16)),SUM(K$3:K16)-SUM(L$3:L16),"")</f>
        <v>-1673.1399999999999</v>
      </c>
      <c r="N16" s="8" t="s">
        <v>18</v>
      </c>
      <c r="O16" s="22" t="s">
        <v>151</v>
      </c>
    </row>
    <row r="17" spans="1:15" x14ac:dyDescent="0.25">
      <c r="A17" s="12">
        <v>43011</v>
      </c>
      <c r="B17" s="9">
        <v>1100</v>
      </c>
      <c r="C17" s="15"/>
      <c r="D17" s="19">
        <f>IF(NOT(ISBLANK($A17)),SUM(B$3:B17)-SUM(C$3:C17),"")</f>
        <v>1894.96</v>
      </c>
      <c r="E17" s="9"/>
      <c r="F17" s="15"/>
      <c r="G17" s="19">
        <f>IF(NOT(ISBLANK($A17)),SUM(E$3:E17)-SUM(F$3:F17),"")</f>
        <v>0</v>
      </c>
      <c r="H17" s="9"/>
      <c r="I17" s="15"/>
      <c r="J17" s="19">
        <f>IF(NOT(ISBLANK($A17)),SUM(H$3:H17)-SUM(I$3:I17),"")</f>
        <v>-2.8421709430404007E-14</v>
      </c>
      <c r="K17" s="9"/>
      <c r="L17" s="15"/>
      <c r="M17" s="19">
        <f>IF(NOT(ISBLANK($A17)),SUM(K$3:K17)-SUM(L$3:L17),"")</f>
        <v>-1673.1399999999999</v>
      </c>
      <c r="N17" s="10" t="s">
        <v>9</v>
      </c>
      <c r="O17" s="23"/>
    </row>
    <row r="18" spans="1:15" x14ac:dyDescent="0.25">
      <c r="A18" s="12">
        <v>43011</v>
      </c>
      <c r="B18" s="9"/>
      <c r="C18" s="15">
        <v>1673.14</v>
      </c>
      <c r="D18" s="19">
        <f>IF(NOT(ISBLANK($A18)),SUM(B$3:B18)-SUM(C$3:C18),"")</f>
        <v>221.81999999999971</v>
      </c>
      <c r="E18" s="9"/>
      <c r="F18" s="15"/>
      <c r="G18" s="19">
        <f>IF(NOT(ISBLANK($A18)),SUM(E$3:E18)-SUM(F$3:F18),"")</f>
        <v>0</v>
      </c>
      <c r="H18" s="9"/>
      <c r="I18" s="15"/>
      <c r="J18" s="19">
        <f>IF(NOT(ISBLANK($A18)),SUM(H$3:H18)-SUM(I$3:I18),"")</f>
        <v>-2.8421709430404007E-14</v>
      </c>
      <c r="K18" s="9">
        <v>1673.14</v>
      </c>
      <c r="L18" s="15"/>
      <c r="M18" s="19">
        <f>IF(NOT(ISBLANK($A18)),SUM(K$3:K18)-SUM(L$3:L18),"")</f>
        <v>0</v>
      </c>
      <c r="N18" s="10" t="s">
        <v>14</v>
      </c>
      <c r="O18" s="23" t="s">
        <v>153</v>
      </c>
    </row>
    <row r="19" spans="1:15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7"/>
      <c r="I19" s="14"/>
      <c r="J19" s="18" t="str">
        <f>IF(NOT(ISBLANK($A19)),SUM(H$3:H19)-SUM(I$3:I19),"")</f>
        <v/>
      </c>
      <c r="K19" s="7"/>
      <c r="L19" s="14"/>
      <c r="M19" s="18" t="str">
        <f>IF(NOT(ISBLANK($A19)),SUM(K$3:K19)-SUM(L$3:L19),"")</f>
        <v/>
      </c>
      <c r="N19" s="8"/>
      <c r="O19" s="22" t="s">
        <v>154</v>
      </c>
    </row>
    <row r="20" spans="1:15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7"/>
      <c r="I20" s="14"/>
      <c r="J20" s="18" t="str">
        <f>IF(NOT(ISBLANK($A20)),SUM(H$3:H20)-SUM(I$3:I20),"")</f>
        <v/>
      </c>
      <c r="K20" s="7"/>
      <c r="L20" s="14"/>
      <c r="M20" s="18" t="str">
        <f>IF(NOT(ISBLANK($A20)),SUM(K$3:K20)-SUM(L$3:L20),"")</f>
        <v/>
      </c>
      <c r="N20" s="8"/>
      <c r="O20" s="22"/>
    </row>
    <row r="21" spans="1:15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9"/>
      <c r="I21" s="15"/>
      <c r="J21" s="19" t="str">
        <f>IF(NOT(ISBLANK($A21)),SUM(H$3:H21)-SUM(I$3:I21),"")</f>
        <v/>
      </c>
      <c r="K21" s="9"/>
      <c r="L21" s="15"/>
      <c r="M21" s="19" t="str">
        <f>IF(NOT(ISBLANK($A21)),SUM(K$3:K21)-SUM(L$3:L21),"")</f>
        <v/>
      </c>
      <c r="N21" s="10"/>
      <c r="O21" s="23"/>
    </row>
    <row r="22" spans="1:15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9"/>
      <c r="I22" s="15"/>
      <c r="J22" s="19" t="str">
        <f>IF(NOT(ISBLANK($A22)),SUM(H$3:H22)-SUM(I$3:I22),"")</f>
        <v/>
      </c>
      <c r="K22" s="9"/>
      <c r="L22" s="15"/>
      <c r="M22" s="19" t="str">
        <f>IF(NOT(ISBLANK($A22)),SUM(K$3:K22)-SUM(L$3:L22),"")</f>
        <v/>
      </c>
      <c r="N22" s="10"/>
      <c r="O22" s="23"/>
    </row>
    <row r="23" spans="1:15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7"/>
      <c r="I23" s="14"/>
      <c r="J23" s="18" t="str">
        <f>IF(NOT(ISBLANK($A23)),SUM(H$3:H23)-SUM(I$3:I23),"")</f>
        <v/>
      </c>
      <c r="K23" s="7"/>
      <c r="L23" s="14"/>
      <c r="M23" s="18" t="str">
        <f>IF(NOT(ISBLANK($A23)),SUM(K$3:K23)-SUM(L$3:L23),"")</f>
        <v/>
      </c>
      <c r="N23" s="8"/>
      <c r="O23" s="22"/>
    </row>
    <row r="24" spans="1:15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7"/>
      <c r="L24" s="14"/>
      <c r="M24" s="18" t="str">
        <f>IF(NOT(ISBLANK($A24)),SUM(K$3:K24)-SUM(L$3:L24),"")</f>
        <v/>
      </c>
      <c r="N24" s="8"/>
      <c r="O24" s="22"/>
    </row>
    <row r="25" spans="1:15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9"/>
      <c r="L25" s="15"/>
      <c r="M25" s="19" t="str">
        <f>IF(NOT(ISBLANK($A25)),SUM(K$3:K25)-SUM(L$3:L25),"")</f>
        <v/>
      </c>
      <c r="N25" s="10"/>
      <c r="O25" s="23"/>
    </row>
    <row r="26" spans="1:15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9"/>
      <c r="L26" s="15"/>
      <c r="M26" s="19" t="str">
        <f>IF(NOT(ISBLANK($A26)),SUM(K$3:K26)-SUM(L$3:L26),"")</f>
        <v/>
      </c>
      <c r="N26" s="10"/>
      <c r="O26" s="23"/>
    </row>
    <row r="27" spans="1:15" x14ac:dyDescent="0.25">
      <c r="A27" s="11"/>
      <c r="B27" s="7"/>
      <c r="C27" s="14"/>
      <c r="D27" s="18" t="str">
        <f>IF(NOT(ISBLANK($A27)),SUM(B$3:B27)-SUM(C$3:C27),"")</f>
        <v/>
      </c>
      <c r="E27" s="7"/>
      <c r="F27" s="14"/>
      <c r="G27" s="18" t="str">
        <f>IF(NOT(ISBLANK($A27)),SUM(E$3:E27)-SUM(F$3:F27),"")</f>
        <v/>
      </c>
      <c r="H27" s="7"/>
      <c r="I27" s="14"/>
      <c r="J27" s="18" t="str">
        <f>IF(NOT(ISBLANK($A27)),SUM(H$3:H27)-SUM(I$3:I27),"")</f>
        <v/>
      </c>
      <c r="K27" s="7"/>
      <c r="L27" s="14"/>
      <c r="M27" s="18" t="str">
        <f>IF(NOT(ISBLANK($A27)),SUM(K$3:K27)-SUM(L$3:L27),"")</f>
        <v/>
      </c>
      <c r="N27" s="8"/>
      <c r="O27" s="22"/>
    </row>
    <row r="28" spans="1:15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7"/>
      <c r="L28" s="14"/>
      <c r="M28" s="18" t="str">
        <f>IF(NOT(ISBLANK($A28)),SUM(K$3:K28)-SUM(L$3:L28),"")</f>
        <v/>
      </c>
      <c r="N28" s="8"/>
      <c r="O28" s="22"/>
    </row>
    <row r="29" spans="1:15" x14ac:dyDescent="0.25">
      <c r="A29" s="12"/>
      <c r="B29" s="9"/>
      <c r="C29" s="15"/>
      <c r="D29" s="19" t="str">
        <f>IF(NOT(ISBLANK($A29)),SUM(B$3:B29)-SUM(C$3:C29),"")</f>
        <v/>
      </c>
      <c r="E29" s="9"/>
      <c r="F29" s="15"/>
      <c r="G29" s="19" t="str">
        <f>IF(NOT(ISBLANK($A29)),SUM(E$3:E29)-SUM(F$3:F29),"")</f>
        <v/>
      </c>
      <c r="H29" s="9"/>
      <c r="I29" s="15"/>
      <c r="J29" s="19" t="str">
        <f>IF(NOT(ISBLANK($A29)),SUM(H$3:H29)-SUM(I$3:I29),"")</f>
        <v/>
      </c>
      <c r="K29" s="9"/>
      <c r="L29" s="15"/>
      <c r="M29" s="19" t="str">
        <f>IF(NOT(ISBLANK($A29)),SUM(K$3:K29)-SUM(L$3:L29),"")</f>
        <v/>
      </c>
      <c r="N29" s="10"/>
      <c r="O29" s="23"/>
    </row>
    <row r="30" spans="1:15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9"/>
      <c r="L30" s="15"/>
      <c r="M30" s="19" t="str">
        <f>IF(NOT(ISBLANK($A30)),SUM(K$3:K30)-SUM(L$3:L30),"")</f>
        <v/>
      </c>
      <c r="N30" s="10"/>
      <c r="O30" s="23"/>
    </row>
    <row r="31" spans="1:15" x14ac:dyDescent="0.25">
      <c r="A31" s="11"/>
      <c r="B31" s="7"/>
      <c r="C31" s="14"/>
      <c r="D31" s="18" t="str">
        <f>IF(NOT(ISBLANK($A31)),SUM(B$3:B31)-SUM(C$3:C31),"")</f>
        <v/>
      </c>
      <c r="E31" s="7"/>
      <c r="F31" s="14"/>
      <c r="G31" s="18" t="str">
        <f>IF(NOT(ISBLANK($A31)),SUM(E$3:E31)-SUM(F$3:F31),"")</f>
        <v/>
      </c>
      <c r="H31" s="7"/>
      <c r="I31" s="14"/>
      <c r="J31" s="18" t="str">
        <f>IF(NOT(ISBLANK($A31)),SUM(H$3:H31)-SUM(I$3:I31),"")</f>
        <v/>
      </c>
      <c r="K31" s="7"/>
      <c r="L31" s="14"/>
      <c r="M31" s="18" t="str">
        <f>IF(NOT(ISBLANK($A31)),SUM(K$3:K31)-SUM(L$3:L31),"")</f>
        <v/>
      </c>
      <c r="N31" s="8"/>
      <c r="O31" s="22"/>
    </row>
    <row r="32" spans="1:15" x14ac:dyDescent="0.25">
      <c r="A32" s="11"/>
      <c r="B32" s="7"/>
      <c r="C32" s="14"/>
      <c r="D32" s="18" t="str">
        <f>IF(NOT(ISBLANK($A32)),SUM(B$3:B32)-SUM(C$3:C32),"")</f>
        <v/>
      </c>
      <c r="E32" s="7"/>
      <c r="F32" s="14"/>
      <c r="G32" s="18" t="str">
        <f>IF(NOT(ISBLANK($A32)),SUM(E$3:E32)-SUM(F$3:F32),"")</f>
        <v/>
      </c>
      <c r="H32" s="7"/>
      <c r="I32" s="14"/>
      <c r="J32" s="18" t="str">
        <f>IF(NOT(ISBLANK($A32)),SUM(H$3:H32)-SUM(I$3:I32),"")</f>
        <v/>
      </c>
      <c r="K32" s="7"/>
      <c r="L32" s="14"/>
      <c r="M32" s="18" t="str">
        <f>IF(NOT(ISBLANK($A32)),SUM(K$3:K32)-SUM(L$3:L32),"")</f>
        <v/>
      </c>
      <c r="N32" s="8"/>
      <c r="O32" s="22"/>
    </row>
    <row r="33" spans="1:15" x14ac:dyDescent="0.25">
      <c r="A33" s="12"/>
      <c r="B33" s="9"/>
      <c r="C33" s="15"/>
      <c r="D33" s="19" t="str">
        <f>IF(NOT(ISBLANK($A33)),SUM(B$3:B33)-SUM(C$3:C33),"")</f>
        <v/>
      </c>
      <c r="E33" s="9"/>
      <c r="F33" s="15"/>
      <c r="G33" s="19" t="str">
        <f>IF(NOT(ISBLANK($A33)),SUM(E$3:E33)-SUM(F$3:F33),"")</f>
        <v/>
      </c>
      <c r="H33" s="9"/>
      <c r="I33" s="15"/>
      <c r="J33" s="19" t="str">
        <f>IF(NOT(ISBLANK($A33)),SUM(H$3:H33)-SUM(I$3:I33),"")</f>
        <v/>
      </c>
      <c r="K33" s="9"/>
      <c r="L33" s="15"/>
      <c r="M33" s="19" t="str">
        <f>IF(NOT(ISBLANK($A33)),SUM(K$3:K33)-SUM(L$3:L33),"")</f>
        <v/>
      </c>
      <c r="N33" s="10"/>
      <c r="O33" s="23"/>
    </row>
    <row r="34" spans="1:15" x14ac:dyDescent="0.25">
      <c r="A34" s="12"/>
      <c r="B34" s="9"/>
      <c r="C34" s="15"/>
      <c r="D34" s="19" t="str">
        <f>IF(NOT(ISBLANK($A34)),SUM(B$3:B34)-SUM(C$3:C34),"")</f>
        <v/>
      </c>
      <c r="E34" s="9"/>
      <c r="F34" s="15"/>
      <c r="G34" s="19" t="str">
        <f>IF(NOT(ISBLANK($A34)),SUM(E$3:E34)-SUM(F$3:F34),"")</f>
        <v/>
      </c>
      <c r="H34" s="9"/>
      <c r="I34" s="15"/>
      <c r="J34" s="19" t="str">
        <f>IF(NOT(ISBLANK($A34)),SUM(H$3:H34)-SUM(I$3:I34),"")</f>
        <v/>
      </c>
      <c r="K34" s="9"/>
      <c r="L34" s="15"/>
      <c r="M34" s="19" t="str">
        <f>IF(NOT(ISBLANK($A34)),SUM(K$3:K34)-SUM(L$3:L34),"")</f>
        <v/>
      </c>
      <c r="N34" s="10"/>
      <c r="O34" s="23"/>
    </row>
    <row r="35" spans="1:15" x14ac:dyDescent="0.25">
      <c r="A35" s="11"/>
      <c r="B35" s="7"/>
      <c r="C35" s="14"/>
      <c r="D35" s="18" t="str">
        <f>IF(NOT(ISBLANK($A35)),SUM(B$3:B35)-SUM(C$3:C35),"")</f>
        <v/>
      </c>
      <c r="E35" s="7"/>
      <c r="F35" s="14"/>
      <c r="G35" s="18" t="str">
        <f>IF(NOT(ISBLANK($A35)),SUM(E$3:E35)-SUM(F$3:F35),"")</f>
        <v/>
      </c>
      <c r="H35" s="7"/>
      <c r="I35" s="14"/>
      <c r="J35" s="18" t="str">
        <f>IF(NOT(ISBLANK($A35)),SUM(H$3:H35)-SUM(I$3:I35),"")</f>
        <v/>
      </c>
      <c r="K35" s="7"/>
      <c r="L35" s="14"/>
      <c r="M35" s="18" t="str">
        <f>IF(NOT(ISBLANK($A35)),SUM(K$3:K35)-SUM(L$3:L35),"")</f>
        <v/>
      </c>
      <c r="N35" s="8"/>
      <c r="O35" s="22"/>
    </row>
    <row r="36" spans="1:15" x14ac:dyDescent="0.25">
      <c r="A36" s="11"/>
      <c r="B36" s="7"/>
      <c r="C36" s="14"/>
      <c r="D36" s="18" t="str">
        <f>IF(NOT(ISBLANK($A36)),SUM(B$3:B36)-SUM(C$3:C36),"")</f>
        <v/>
      </c>
      <c r="E36" s="7"/>
      <c r="F36" s="14"/>
      <c r="G36" s="18" t="str">
        <f>IF(NOT(ISBLANK($A36)),SUM(E$3:E36)-SUM(F$3:F36),"")</f>
        <v/>
      </c>
      <c r="H36" s="7"/>
      <c r="I36" s="14"/>
      <c r="J36" s="18" t="str">
        <f>IF(NOT(ISBLANK($A36)),SUM(H$3:H36)-SUM(I$3:I36),"")</f>
        <v/>
      </c>
      <c r="K36" s="7"/>
      <c r="L36" s="14"/>
      <c r="M36" s="18" t="str">
        <f>IF(NOT(ISBLANK($A36)),SUM(K$3:K36)-SUM(L$3:L36),"")</f>
        <v/>
      </c>
      <c r="N36" s="8"/>
      <c r="O36" s="22"/>
    </row>
    <row r="37" spans="1:15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9"/>
      <c r="L37" s="15"/>
      <c r="M37" s="19" t="str">
        <f>IF(NOT(ISBLANK($A37)),SUM(K$3:K37)-SUM(L$3:L37),"")</f>
        <v/>
      </c>
      <c r="N37" s="10"/>
      <c r="O37" s="23"/>
    </row>
    <row r="38" spans="1:15" x14ac:dyDescent="0.25">
      <c r="A38" s="12"/>
      <c r="B38" s="9"/>
      <c r="C38" s="15"/>
      <c r="D38" s="19" t="str">
        <f>IF(NOT(ISBLANK($A38)),SUM(B$3:B38)-SUM(C$3:C38),"")</f>
        <v/>
      </c>
      <c r="E38" s="9"/>
      <c r="F38" s="15"/>
      <c r="G38" s="19" t="str">
        <f>IF(NOT(ISBLANK($A38)),SUM(E$3:E38)-SUM(F$3:F38),"")</f>
        <v/>
      </c>
      <c r="H38" s="9"/>
      <c r="I38" s="15"/>
      <c r="J38" s="19" t="str">
        <f>IF(NOT(ISBLANK($A38)),SUM(H$3:H38)-SUM(I$3:I38),"")</f>
        <v/>
      </c>
      <c r="K38" s="9"/>
      <c r="L38" s="15"/>
      <c r="M38" s="19" t="str">
        <f>IF(NOT(ISBLANK($A38)),SUM(K$3:K38)-SUM(L$3:L38),"")</f>
        <v/>
      </c>
      <c r="N38" s="10"/>
      <c r="O38" s="23"/>
    </row>
    <row r="39" spans="1:15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7"/>
      <c r="L39" s="14"/>
      <c r="M39" s="18" t="str">
        <f>IF(NOT(ISBLANK($A39)),SUM(K$3:K39)-SUM(L$3:L39),"")</f>
        <v/>
      </c>
      <c r="N39" s="8"/>
      <c r="O39" s="22"/>
    </row>
    <row r="40" spans="1:15" x14ac:dyDescent="0.25">
      <c r="A40" s="11"/>
      <c r="B40" s="7"/>
      <c r="C40" s="14"/>
      <c r="D40" s="18" t="str">
        <f>IF(NOT(ISBLANK($A40)),SUM(B$3:B40)-SUM(C$3:C40),"")</f>
        <v/>
      </c>
      <c r="E40" s="7"/>
      <c r="F40" s="14"/>
      <c r="G40" s="18" t="str">
        <f>IF(NOT(ISBLANK($A40)),SUM(E$3:E40)-SUM(F$3:F40),"")</f>
        <v/>
      </c>
      <c r="H40" s="7"/>
      <c r="I40" s="14"/>
      <c r="J40" s="18" t="str">
        <f>IF(NOT(ISBLANK($A40)),SUM(H$3:H40)-SUM(I$3:I40),"")</f>
        <v/>
      </c>
      <c r="K40" s="7"/>
      <c r="L40" s="14"/>
      <c r="M40" s="18" t="str">
        <f>IF(NOT(ISBLANK($A40)),SUM(K$3:K40)-SUM(L$3:L40),"")</f>
        <v/>
      </c>
      <c r="N40" s="8"/>
      <c r="O40" s="22"/>
    </row>
    <row r="41" spans="1:15" x14ac:dyDescent="0.25">
      <c r="A41" s="12"/>
      <c r="B41" s="9"/>
      <c r="C41" s="15"/>
      <c r="D41" s="19" t="str">
        <f>IF(NOT(ISBLANK($A41)),SUM(B$3:B41)-SUM(C$3:C41),"")</f>
        <v/>
      </c>
      <c r="E41" s="9"/>
      <c r="F41" s="15"/>
      <c r="G41" s="19" t="str">
        <f>IF(NOT(ISBLANK($A41)),SUM(E$3:E41)-SUM(F$3:F41),"")</f>
        <v/>
      </c>
      <c r="H41" s="9"/>
      <c r="I41" s="15"/>
      <c r="J41" s="19" t="str">
        <f>IF(NOT(ISBLANK($A41)),SUM(H$3:H41)-SUM(I$3:I41),"")</f>
        <v/>
      </c>
      <c r="K41" s="9"/>
      <c r="L41" s="15"/>
      <c r="M41" s="19" t="str">
        <f>IF(NOT(ISBLANK($A41)),SUM(K$3:K41)-SUM(L$3:L41),"")</f>
        <v/>
      </c>
      <c r="N41" s="10"/>
      <c r="O41" s="23"/>
    </row>
    <row r="42" spans="1:15" x14ac:dyDescent="0.25">
      <c r="A42" s="12"/>
      <c r="B42" s="9"/>
      <c r="C42" s="15"/>
      <c r="D42" s="19" t="str">
        <f>IF(NOT(ISBLANK($A42)),SUM(B$3:B42)-SUM(C$3:C42),"")</f>
        <v/>
      </c>
      <c r="E42" s="9"/>
      <c r="F42" s="15"/>
      <c r="G42" s="19" t="str">
        <f>IF(NOT(ISBLANK($A42)),SUM(E$3:E42)-SUM(F$3:F42),"")</f>
        <v/>
      </c>
      <c r="H42" s="9"/>
      <c r="I42" s="15"/>
      <c r="J42" s="19" t="str">
        <f>IF(NOT(ISBLANK($A42)),SUM(H$3:H42)-SUM(I$3:I42),"")</f>
        <v/>
      </c>
      <c r="K42" s="9"/>
      <c r="L42" s="15"/>
      <c r="M42" s="19" t="str">
        <f>IF(NOT(ISBLANK($A42)),SUM(K$3:K42)-SUM(L$3:L42),"")</f>
        <v/>
      </c>
      <c r="N42" s="10"/>
      <c r="O42" s="23"/>
    </row>
  </sheetData>
  <mergeCells count="7">
    <mergeCell ref="O1:O2"/>
    <mergeCell ref="H1:J1"/>
    <mergeCell ref="A1:A2"/>
    <mergeCell ref="B1:D1"/>
    <mergeCell ref="K1:M1"/>
    <mergeCell ref="N1:N2"/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0"/>
  <sheetViews>
    <sheetView workbookViewId="0">
      <selection activeCell="H38" sqref="H38"/>
    </sheetView>
  </sheetViews>
  <sheetFormatPr defaultRowHeight="15" x14ac:dyDescent="0.25"/>
  <cols>
    <col min="1" max="1" width="27" bestFit="1" customWidth="1"/>
    <col min="2" max="3" width="8" bestFit="1" customWidth="1"/>
    <col min="4" max="4" width="7.85546875" bestFit="1" customWidth="1"/>
    <col min="5" max="6" width="8" bestFit="1" customWidth="1"/>
    <col min="7" max="7" width="7.85546875" bestFit="1" customWidth="1"/>
    <col min="8" max="9" width="8" bestFit="1" customWidth="1"/>
    <col min="10" max="10" width="7.8554687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08" t="s">
        <v>0</v>
      </c>
      <c r="B1" s="110" t="s">
        <v>1</v>
      </c>
      <c r="C1" s="111"/>
      <c r="D1" s="112"/>
      <c r="E1" s="110" t="s">
        <v>148</v>
      </c>
      <c r="F1" s="111"/>
      <c r="G1" s="112"/>
      <c r="H1" s="110" t="s">
        <v>2</v>
      </c>
      <c r="I1" s="111"/>
      <c r="J1" s="112"/>
      <c r="K1" s="108" t="s">
        <v>132</v>
      </c>
      <c r="L1" s="108" t="s">
        <v>3</v>
      </c>
      <c r="M1" s="113" t="s">
        <v>152</v>
      </c>
    </row>
    <row r="2" spans="1:13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09"/>
      <c r="L2" s="109"/>
      <c r="M2" s="114"/>
    </row>
    <row r="3" spans="1:13" x14ac:dyDescent="0.25">
      <c r="A3" s="11">
        <v>43009</v>
      </c>
      <c r="B3" s="7"/>
      <c r="C3" s="14"/>
      <c r="D3" s="18">
        <f>IF(NOT(ISBLANK($A3)),SUM(B$3:B3)-SUM(C$3:C3),"")</f>
        <v>0</v>
      </c>
      <c r="E3" s="7"/>
      <c r="F3" s="14">
        <v>45.188699999999997</v>
      </c>
      <c r="G3" s="18">
        <f>IF(NOT(ISBLANK($A3)),SUM(E$3:E3)-SUM(F$3:F3),"")</f>
        <v>-45.188699999999997</v>
      </c>
      <c r="H3" s="7"/>
      <c r="I3" s="14"/>
      <c r="J3" s="18">
        <f>IF(NOT(ISBLANK($A3)),SUM(H$3:H3)-SUM(I$3:I3),"")</f>
        <v>0</v>
      </c>
      <c r="K3" s="8" t="b">
        <v>0</v>
      </c>
      <c r="L3" s="8" t="s">
        <v>149</v>
      </c>
      <c r="M3" s="8" t="s">
        <v>151</v>
      </c>
    </row>
    <row r="4" spans="1:13" x14ac:dyDescent="0.25">
      <c r="A4" s="11">
        <v>43011</v>
      </c>
      <c r="B4" s="7">
        <v>75</v>
      </c>
      <c r="C4" s="14"/>
      <c r="D4" s="18">
        <f>IF(NOT(ISBLANK($A4)),SUM(B$3:B4)-SUM(C$3:C4),"")</f>
        <v>75</v>
      </c>
      <c r="E4" s="7"/>
      <c r="F4" s="14"/>
      <c r="G4" s="18">
        <f>IF(NOT(ISBLANK($A4)),SUM(E$3:E4)-SUM(F$3:F4),"")</f>
        <v>-45.188699999999997</v>
      </c>
      <c r="H4" s="7"/>
      <c r="I4" s="14"/>
      <c r="J4" s="18">
        <f>IF(NOT(ISBLANK($A4)),SUM(H$3:H4)-SUM(I$3:I4),"")</f>
        <v>0</v>
      </c>
      <c r="K4" s="8" t="b">
        <v>1</v>
      </c>
      <c r="L4" s="8" t="s">
        <v>9</v>
      </c>
      <c r="M4" s="8"/>
    </row>
    <row r="5" spans="1:13" x14ac:dyDescent="0.25">
      <c r="A5" s="12">
        <v>43011</v>
      </c>
      <c r="B5" s="9"/>
      <c r="C5" s="15">
        <v>45.19</v>
      </c>
      <c r="D5" s="19">
        <f>IF(NOT(ISBLANK($A5)),SUM(B$3:B5)-SUM(C$3:C5),"")</f>
        <v>29.810000000000002</v>
      </c>
      <c r="E5" s="9">
        <v>45.19</v>
      </c>
      <c r="F5" s="15"/>
      <c r="G5" s="19">
        <f>IF(NOT(ISBLANK($A5)),SUM(E$3:E5)-SUM(F$3:F5),"")</f>
        <v>1.300000000000523E-3</v>
      </c>
      <c r="H5" s="9"/>
      <c r="I5" s="15"/>
      <c r="J5" s="19">
        <f>IF(NOT(ISBLANK($A5)),SUM(H$3:H5)-SUM(I$3:I5),"")</f>
        <v>0</v>
      </c>
      <c r="K5" s="10"/>
      <c r="L5" s="10" t="s">
        <v>150</v>
      </c>
      <c r="M5" s="10" t="s">
        <v>151</v>
      </c>
    </row>
    <row r="6" spans="1:13" x14ac:dyDescent="0.25">
      <c r="A6" s="12"/>
      <c r="B6" s="9"/>
      <c r="C6" s="15"/>
      <c r="D6" s="19" t="str">
        <f>IF(NOT(ISBLANK($A6)),SUM(B$3:B6)-SUM(C$3:C6),"")</f>
        <v/>
      </c>
      <c r="E6" s="9"/>
      <c r="F6" s="15"/>
      <c r="G6" s="19" t="str">
        <f>IF(NOT(ISBLANK($A6)),SUM(E$3:E6)-SUM(F$3:F6),"")</f>
        <v/>
      </c>
      <c r="H6" s="9"/>
      <c r="I6" s="15"/>
      <c r="J6" s="19" t="str">
        <f>IF(NOT(ISBLANK($A6)),SUM(H$3:H6)-SUM(I$3:I6),"")</f>
        <v/>
      </c>
      <c r="K6" s="10"/>
      <c r="L6" s="10"/>
      <c r="M6" s="10"/>
    </row>
    <row r="7" spans="1:13" x14ac:dyDescent="0.25">
      <c r="A7" s="12"/>
      <c r="B7" s="9"/>
      <c r="C7" s="15"/>
      <c r="D7" s="19" t="str">
        <f>IF(NOT(ISBLANK($A7)),SUM(B$3:B7)-SUM(C$3:C7),"")</f>
        <v/>
      </c>
      <c r="E7" s="9"/>
      <c r="F7" s="15"/>
      <c r="G7" s="19" t="str">
        <f>IF(NOT(ISBLANK($A7)),SUM(E$3:E7)-SUM(F$3:F7),"")</f>
        <v/>
      </c>
      <c r="H7" s="9"/>
      <c r="I7" s="15"/>
      <c r="J7" s="19" t="str">
        <f>IF(NOT(ISBLANK($A7)),SUM(H$3:H7)-SUM(I$3:I7),"")</f>
        <v/>
      </c>
      <c r="K7" s="10"/>
      <c r="L7" s="10"/>
      <c r="M7" s="10"/>
    </row>
    <row r="8" spans="1:13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7"/>
      <c r="I8" s="14"/>
      <c r="J8" s="18" t="str">
        <f>IF(NOT(ISBLANK($A8)),SUM(H$3:H8)-SUM(I$3:I8),"")</f>
        <v/>
      </c>
      <c r="K8" s="8"/>
      <c r="L8" s="8"/>
      <c r="M8" s="8"/>
    </row>
    <row r="9" spans="1:13" x14ac:dyDescent="0.25">
      <c r="A9" s="11"/>
      <c r="B9" s="7"/>
      <c r="C9" s="14"/>
      <c r="D9" s="18" t="str">
        <f>IF(NOT(ISBLANK($A9)),SUM(B$3:B9)-SUM(C$3:C9),"")</f>
        <v/>
      </c>
      <c r="E9" s="7"/>
      <c r="F9" s="14"/>
      <c r="G9" s="18" t="str">
        <f>IF(NOT(ISBLANK($A9)),SUM(E$3:E9)-SUM(F$3:F9),"")</f>
        <v/>
      </c>
      <c r="H9" s="7"/>
      <c r="I9" s="14"/>
      <c r="J9" s="18" t="str">
        <f>IF(NOT(ISBLANK($A9)),SUM(H$3:H9)-SUM(I$3:I9),"")</f>
        <v/>
      </c>
      <c r="K9" s="8"/>
      <c r="L9" s="8"/>
      <c r="M9" s="8"/>
    </row>
    <row r="10" spans="1:13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9"/>
      <c r="I10" s="15"/>
      <c r="J10" s="19" t="str">
        <f>IF(NOT(ISBLANK($A10)),SUM(H$3:H10)-SUM(I$3:I10),"")</f>
        <v/>
      </c>
      <c r="K10" s="10"/>
      <c r="L10" s="10"/>
      <c r="M10" s="10"/>
    </row>
    <row r="11" spans="1:13" x14ac:dyDescent="0.25">
      <c r="A11" s="12"/>
      <c r="B11" s="9"/>
      <c r="C11" s="15"/>
      <c r="D11" s="19" t="str">
        <f>IF(NOT(ISBLANK($A11)),SUM(B$3:B11)-SUM(C$3:C11),"")</f>
        <v/>
      </c>
      <c r="E11" s="9"/>
      <c r="F11" s="15"/>
      <c r="G11" s="19" t="str">
        <f>IF(NOT(ISBLANK($A11)),SUM(E$3:E11)-SUM(F$3:F11),"")</f>
        <v/>
      </c>
      <c r="H11" s="9"/>
      <c r="I11" s="15"/>
      <c r="J11" s="19" t="str">
        <f>IF(NOT(ISBLANK($A11)),SUM(H$3:H11)-SUM(I$3:I11),"")</f>
        <v/>
      </c>
      <c r="K11" s="10"/>
      <c r="L11" s="10"/>
      <c r="M11" s="10"/>
    </row>
    <row r="12" spans="1:13" x14ac:dyDescent="0.25">
      <c r="A12" s="12"/>
      <c r="B12" s="9"/>
      <c r="C12" s="15"/>
      <c r="D12" s="19" t="str">
        <f>IF(NOT(ISBLANK($A12)),SUM(B$3:B12)-SUM(C$3:C12),"")</f>
        <v/>
      </c>
      <c r="E12" s="9"/>
      <c r="F12" s="15"/>
      <c r="G12" s="19" t="str">
        <f>IF(NOT(ISBLANK($A12)),SUM(E$3:E12)-SUM(F$3:F12),"")</f>
        <v/>
      </c>
      <c r="H12" s="9"/>
      <c r="I12" s="15"/>
      <c r="J12" s="19" t="str">
        <f>IF(NOT(ISBLANK($A12)),SUM(H$3:H12)-SUM(I$3:I12),"")</f>
        <v/>
      </c>
      <c r="K12" s="10"/>
      <c r="L12" s="10"/>
      <c r="M12" s="10"/>
    </row>
    <row r="13" spans="1:13" x14ac:dyDescent="0.25">
      <c r="A13" s="11"/>
      <c r="B13" s="7"/>
      <c r="C13" s="14"/>
      <c r="D13" s="18" t="str">
        <f>IF(NOT(ISBLANK($A13)),SUM(B$3:B13)-SUM(C$3:C13),"")</f>
        <v/>
      </c>
      <c r="E13" s="7"/>
      <c r="F13" s="14"/>
      <c r="G13" s="18" t="str">
        <f>IF(NOT(ISBLANK($A13)),SUM(E$3:E13)-SUM(F$3:F13),"")</f>
        <v/>
      </c>
      <c r="H13" s="7"/>
      <c r="I13" s="14"/>
      <c r="J13" s="18" t="str">
        <f>IF(NOT(ISBLANK($A13)),SUM(H$3:H13)-SUM(I$3:I13),"")</f>
        <v/>
      </c>
      <c r="K13" s="8"/>
      <c r="L13" s="8"/>
      <c r="M13" s="8"/>
    </row>
    <row r="14" spans="1:13" x14ac:dyDescent="0.25">
      <c r="A14" s="11"/>
      <c r="B14" s="7"/>
      <c r="C14" s="14"/>
      <c r="D14" s="18" t="str">
        <f>IF(NOT(ISBLANK($A14)),SUM(B$3:B14)-SUM(C$3:C14),"")</f>
        <v/>
      </c>
      <c r="E14" s="7"/>
      <c r="F14" s="14"/>
      <c r="G14" s="18" t="str">
        <f>IF(NOT(ISBLANK($A14)),SUM(E$3:E14)-SUM(F$3:F14),"")</f>
        <v/>
      </c>
      <c r="H14" s="7"/>
      <c r="I14" s="14"/>
      <c r="J14" s="18" t="str">
        <f>IF(NOT(ISBLANK($A14)),SUM(H$3:H14)-SUM(I$3:I14),"")</f>
        <v/>
      </c>
      <c r="K14" s="8"/>
      <c r="L14" s="8"/>
      <c r="M14" s="8"/>
    </row>
    <row r="15" spans="1:13" x14ac:dyDescent="0.25">
      <c r="A15" s="12"/>
      <c r="B15" s="9"/>
      <c r="C15" s="15"/>
      <c r="D15" s="19" t="str">
        <f>IF(NOT(ISBLANK($A15)),SUM(B$3:B15)-SUM(C$3:C15),"")</f>
        <v/>
      </c>
      <c r="E15" s="9"/>
      <c r="F15" s="15"/>
      <c r="G15" s="19" t="str">
        <f>IF(NOT(ISBLANK($A15)),SUM(E$3:E15)-SUM(F$3:F15),"")</f>
        <v/>
      </c>
      <c r="H15" s="9"/>
      <c r="I15" s="15"/>
      <c r="J15" s="19" t="str">
        <f>IF(NOT(ISBLANK($A15)),SUM(H$3:H15)-SUM(I$3:I15),"")</f>
        <v/>
      </c>
      <c r="K15" s="10"/>
      <c r="L15" s="10"/>
      <c r="M15" s="10"/>
    </row>
    <row r="16" spans="1:13" x14ac:dyDescent="0.25">
      <c r="A16" s="12"/>
      <c r="B16" s="9"/>
      <c r="C16" s="15"/>
      <c r="D16" s="19" t="str">
        <f>IF(NOT(ISBLANK($A16)),SUM(B$3:B16)-SUM(C$3:C16),"")</f>
        <v/>
      </c>
      <c r="E16" s="9"/>
      <c r="F16" s="15"/>
      <c r="G16" s="19" t="str">
        <f>IF(NOT(ISBLANK($A16)),SUM(E$3:E16)-SUM(F$3:F16),"")</f>
        <v/>
      </c>
      <c r="H16" s="9"/>
      <c r="I16" s="15"/>
      <c r="J16" s="19" t="str">
        <f>IF(NOT(ISBLANK($A16)),SUM(H$3:H16)-SUM(I$3:I16),"")</f>
        <v/>
      </c>
      <c r="K16" s="10"/>
      <c r="L16" s="10"/>
      <c r="M16" s="10"/>
    </row>
    <row r="17" spans="1:13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9"/>
      <c r="I17" s="15"/>
      <c r="J17" s="19" t="str">
        <f>IF(NOT(ISBLANK($A17)),SUM(H$3:H17)-SUM(I$3:I17),"")</f>
        <v/>
      </c>
      <c r="K17" s="10"/>
      <c r="L17" s="10"/>
      <c r="M17" s="10"/>
    </row>
    <row r="18" spans="1:13" x14ac:dyDescent="0.25">
      <c r="A18" s="11"/>
      <c r="B18" s="7"/>
      <c r="C18" s="14"/>
      <c r="D18" s="18" t="str">
        <f>IF(NOT(ISBLANK($A18)),SUM(B$3:B18)-SUM(C$3:C18),"")</f>
        <v/>
      </c>
      <c r="E18" s="7"/>
      <c r="F18" s="14"/>
      <c r="G18" s="18" t="str">
        <f>IF(NOT(ISBLANK($A18)),SUM(E$3:E18)-SUM(F$3:F18),"")</f>
        <v/>
      </c>
      <c r="H18" s="7"/>
      <c r="I18" s="14"/>
      <c r="J18" s="18" t="str">
        <f>IF(NOT(ISBLANK($A18)),SUM(H$3:H18)-SUM(I$3:I18),"")</f>
        <v/>
      </c>
      <c r="K18" s="8"/>
      <c r="L18" s="8"/>
      <c r="M18" s="8"/>
    </row>
    <row r="19" spans="1:13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7"/>
      <c r="I19" s="14"/>
      <c r="J19" s="18" t="str">
        <f>IF(NOT(ISBLANK($A19)),SUM(H$3:H19)-SUM(I$3:I19),"")</f>
        <v/>
      </c>
      <c r="K19" s="8"/>
      <c r="L19" s="8"/>
      <c r="M19" s="8"/>
    </row>
    <row r="20" spans="1:13" x14ac:dyDescent="0.25">
      <c r="A20" s="12"/>
      <c r="B20" s="9"/>
      <c r="C20" s="15"/>
      <c r="D20" s="19" t="str">
        <f>IF(NOT(ISBLANK($A20)),SUM(B$3:B20)-SUM(C$3:C20),"")</f>
        <v/>
      </c>
      <c r="E20" s="9"/>
      <c r="F20" s="15"/>
      <c r="G20" s="19" t="str">
        <f>IF(NOT(ISBLANK($A20)),SUM(E$3:E20)-SUM(F$3:F20),"")</f>
        <v/>
      </c>
      <c r="H20" s="9"/>
      <c r="I20" s="15"/>
      <c r="J20" s="19" t="str">
        <f>IF(NOT(ISBLANK($A20)),SUM(H$3:H20)-SUM(I$3:I20),"")</f>
        <v/>
      </c>
      <c r="K20" s="10"/>
      <c r="L20" s="10"/>
      <c r="M20" s="10"/>
    </row>
    <row r="21" spans="1:13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9"/>
      <c r="I21" s="15"/>
      <c r="J21" s="19" t="str">
        <f>IF(NOT(ISBLANK($A21)),SUM(H$3:H21)-SUM(I$3:I21),"")</f>
        <v/>
      </c>
      <c r="K21" s="10"/>
      <c r="L21" s="10"/>
      <c r="M21" s="10"/>
    </row>
    <row r="22" spans="1:13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9"/>
      <c r="I22" s="15"/>
      <c r="J22" s="19" t="str">
        <f>IF(NOT(ISBLANK($A22)),SUM(H$3:H22)-SUM(I$3:I22),"")</f>
        <v/>
      </c>
      <c r="K22" s="10"/>
      <c r="L22" s="10"/>
      <c r="M22" s="10"/>
    </row>
    <row r="23" spans="1:13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7"/>
      <c r="I23" s="14"/>
      <c r="J23" s="18" t="str">
        <f>IF(NOT(ISBLANK($A23)),SUM(H$3:H23)-SUM(I$3:I23),"")</f>
        <v/>
      </c>
      <c r="K23" s="8"/>
      <c r="L23" s="8"/>
      <c r="M23" s="8"/>
    </row>
    <row r="24" spans="1:13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8"/>
      <c r="M24" s="8"/>
    </row>
    <row r="25" spans="1:13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10"/>
      <c r="M25" s="10"/>
    </row>
    <row r="26" spans="1:13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10"/>
      <c r="M26" s="10"/>
    </row>
    <row r="27" spans="1:13" x14ac:dyDescent="0.25">
      <c r="A27" s="12"/>
      <c r="B27" s="9"/>
      <c r="C27" s="15"/>
      <c r="D27" s="19" t="str">
        <f>IF(NOT(ISBLANK($A27)),SUM(B$3:B27)-SUM(C$3:C27),"")</f>
        <v/>
      </c>
      <c r="E27" s="9"/>
      <c r="F27" s="15"/>
      <c r="G27" s="19" t="str">
        <f>IF(NOT(ISBLANK($A27)),SUM(E$3:E27)-SUM(F$3:F27),"")</f>
        <v/>
      </c>
      <c r="H27" s="9"/>
      <c r="I27" s="15"/>
      <c r="J27" s="19" t="str">
        <f>IF(NOT(ISBLANK($A27)),SUM(H$3:H27)-SUM(I$3:I27),"")</f>
        <v/>
      </c>
      <c r="K27" s="10"/>
      <c r="L27" s="10"/>
      <c r="M27" s="10"/>
    </row>
    <row r="28" spans="1:13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8"/>
      <c r="M28" s="8"/>
    </row>
    <row r="29" spans="1:13" x14ac:dyDescent="0.25">
      <c r="A29" s="11"/>
      <c r="B29" s="7"/>
      <c r="C29" s="14"/>
      <c r="D29" s="18" t="str">
        <f>IF(NOT(ISBLANK($A29)),SUM(B$3:B29)-SUM(C$3:C29),"")</f>
        <v/>
      </c>
      <c r="E29" s="7"/>
      <c r="F29" s="14"/>
      <c r="G29" s="18" t="str">
        <f>IF(NOT(ISBLANK($A29)),SUM(E$3:E29)-SUM(F$3:F29),"")</f>
        <v/>
      </c>
      <c r="H29" s="7"/>
      <c r="I29" s="14"/>
      <c r="J29" s="18" t="str">
        <f>IF(NOT(ISBLANK($A29)),SUM(H$3:H29)-SUM(I$3:I29),"")</f>
        <v/>
      </c>
      <c r="K29" s="8"/>
      <c r="L29" s="8"/>
      <c r="M29" s="8"/>
    </row>
    <row r="30" spans="1:13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10"/>
      <c r="M30" s="10"/>
    </row>
    <row r="31" spans="1:13" x14ac:dyDescent="0.25">
      <c r="A31" s="12"/>
      <c r="B31" s="9"/>
      <c r="C31" s="15"/>
      <c r="D31" s="19" t="str">
        <f>IF(NOT(ISBLANK($A31)),SUM(B$3:B31)-SUM(C$3:C31),"")</f>
        <v/>
      </c>
      <c r="E31" s="9"/>
      <c r="F31" s="15"/>
      <c r="G31" s="19" t="str">
        <f>IF(NOT(ISBLANK($A31)),SUM(E$3:E31)-SUM(F$3:F31),"")</f>
        <v/>
      </c>
      <c r="H31" s="9"/>
      <c r="I31" s="15"/>
      <c r="J31" s="19" t="str">
        <f>IF(NOT(ISBLANK($A31)),SUM(H$3:H31)-SUM(I$3:I31),"")</f>
        <v/>
      </c>
      <c r="K31" s="10"/>
      <c r="L31" s="10"/>
      <c r="M31" s="10"/>
    </row>
    <row r="32" spans="1:13" x14ac:dyDescent="0.25">
      <c r="A32" s="12"/>
      <c r="B32" s="9"/>
      <c r="C32" s="15"/>
      <c r="D32" s="19" t="str">
        <f>IF(NOT(ISBLANK($A32)),SUM(B$3:B32)-SUM(C$3:C32),"")</f>
        <v/>
      </c>
      <c r="E32" s="9"/>
      <c r="F32" s="15"/>
      <c r="G32" s="19" t="str">
        <f>IF(NOT(ISBLANK($A32)),SUM(E$3:E32)-SUM(F$3:F32),"")</f>
        <v/>
      </c>
      <c r="H32" s="9"/>
      <c r="I32" s="15"/>
      <c r="J32" s="19" t="str">
        <f>IF(NOT(ISBLANK($A32)),SUM(H$3:H32)-SUM(I$3:I32),"")</f>
        <v/>
      </c>
      <c r="K32" s="10"/>
      <c r="L32" s="10"/>
      <c r="M32" s="10"/>
    </row>
    <row r="33" spans="1:13" x14ac:dyDescent="0.25">
      <c r="A33" s="11"/>
      <c r="B33" s="7"/>
      <c r="C33" s="14"/>
      <c r="D33" s="18" t="str">
        <f>IF(NOT(ISBLANK($A33)),SUM(B$3:B33)-SUM(C$3:C33),"")</f>
        <v/>
      </c>
      <c r="E33" s="7"/>
      <c r="F33" s="14"/>
      <c r="G33" s="18" t="str">
        <f>IF(NOT(ISBLANK($A33)),SUM(E$3:E33)-SUM(F$3:F33),"")</f>
        <v/>
      </c>
      <c r="H33" s="7"/>
      <c r="I33" s="14"/>
      <c r="J33" s="18" t="str">
        <f>IF(NOT(ISBLANK($A33)),SUM(H$3:H33)-SUM(I$3:I33),"")</f>
        <v/>
      </c>
      <c r="K33" s="8"/>
      <c r="L33" s="8"/>
      <c r="M33" s="8"/>
    </row>
    <row r="34" spans="1:13" x14ac:dyDescent="0.25">
      <c r="A34" s="11"/>
      <c r="B34" s="7"/>
      <c r="C34" s="14"/>
      <c r="D34" s="18" t="str">
        <f>IF(NOT(ISBLANK($A34)),SUM(B$3:B34)-SUM(C$3:C34),"")</f>
        <v/>
      </c>
      <c r="E34" s="7"/>
      <c r="F34" s="14"/>
      <c r="G34" s="18" t="str">
        <f>IF(NOT(ISBLANK($A34)),SUM(E$3:E34)-SUM(F$3:F34),"")</f>
        <v/>
      </c>
      <c r="H34" s="7"/>
      <c r="I34" s="14"/>
      <c r="J34" s="18" t="str">
        <f>IF(NOT(ISBLANK($A34)),SUM(H$3:H34)-SUM(I$3:I34),"")</f>
        <v/>
      </c>
      <c r="K34" s="8"/>
      <c r="L34" s="8"/>
      <c r="M34" s="8"/>
    </row>
    <row r="35" spans="1:13" x14ac:dyDescent="0.25">
      <c r="A35" s="12"/>
      <c r="B35" s="9"/>
      <c r="C35" s="15"/>
      <c r="D35" s="19" t="str">
        <f>IF(NOT(ISBLANK($A35)),SUM(B$3:B35)-SUM(C$3:C35),"")</f>
        <v/>
      </c>
      <c r="E35" s="9"/>
      <c r="F35" s="15"/>
      <c r="G35" s="19" t="str">
        <f>IF(NOT(ISBLANK($A35)),SUM(E$3:E35)-SUM(F$3:F35),"")</f>
        <v/>
      </c>
      <c r="H35" s="9"/>
      <c r="I35" s="15"/>
      <c r="J35" s="19" t="str">
        <f>IF(NOT(ISBLANK($A35)),SUM(H$3:H35)-SUM(I$3:I35),"")</f>
        <v/>
      </c>
      <c r="K35" s="10"/>
      <c r="L35" s="10"/>
      <c r="M35" s="10"/>
    </row>
    <row r="36" spans="1:13" x14ac:dyDescent="0.25">
      <c r="A36" s="12"/>
      <c r="B36" s="9"/>
      <c r="C36" s="15"/>
      <c r="D36" s="19" t="str">
        <f>IF(NOT(ISBLANK($A36)),SUM(B$3:B36)-SUM(C$3:C36),"")</f>
        <v/>
      </c>
      <c r="E36" s="9"/>
      <c r="F36" s="15"/>
      <c r="G36" s="19" t="str">
        <f>IF(NOT(ISBLANK($A36)),SUM(E$3:E36)-SUM(F$3:F36),"")</f>
        <v/>
      </c>
      <c r="H36" s="9"/>
      <c r="I36" s="15"/>
      <c r="J36" s="19" t="str">
        <f>IF(NOT(ISBLANK($A36)),SUM(H$3:H36)-SUM(I$3:I36),"")</f>
        <v/>
      </c>
      <c r="K36" s="10"/>
      <c r="L36" s="10"/>
      <c r="M36" s="10"/>
    </row>
    <row r="37" spans="1:13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10"/>
      <c r="M37" s="10"/>
    </row>
    <row r="38" spans="1:13" x14ac:dyDescent="0.25">
      <c r="A38" s="11"/>
      <c r="B38" s="7"/>
      <c r="C38" s="14"/>
      <c r="D38" s="18" t="str">
        <f>IF(NOT(ISBLANK($A38)),SUM(B$3:B38)-SUM(C$3:C38),"")</f>
        <v/>
      </c>
      <c r="E38" s="7"/>
      <c r="F38" s="14"/>
      <c r="G38" s="18" t="str">
        <f>IF(NOT(ISBLANK($A38)),SUM(E$3:E38)-SUM(F$3:F38),"")</f>
        <v/>
      </c>
      <c r="H38" s="7"/>
      <c r="I38" s="14"/>
      <c r="J38" s="18" t="str">
        <f>IF(NOT(ISBLANK($A38)),SUM(H$3:H38)-SUM(I$3:I38),"")</f>
        <v/>
      </c>
      <c r="K38" s="8"/>
      <c r="L38" s="8"/>
      <c r="M38" s="8"/>
    </row>
    <row r="39" spans="1:13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8"/>
      <c r="M39" s="8"/>
    </row>
    <row r="40" spans="1:13" x14ac:dyDescent="0.25">
      <c r="A40" s="12"/>
      <c r="B40" s="9"/>
      <c r="C40" s="15"/>
      <c r="D40" s="19" t="str">
        <f>IF(NOT(ISBLANK($A40)),SUM(B$3:B40)-SUM(C$3:C40),"")</f>
        <v/>
      </c>
      <c r="E40" s="9"/>
      <c r="F40" s="15"/>
      <c r="G40" s="19" t="str">
        <f>IF(NOT(ISBLANK($A40)),SUM(E$3:E40)-SUM(F$3:F40),"")</f>
        <v/>
      </c>
      <c r="H40" s="9"/>
      <c r="I40" s="15"/>
      <c r="J40" s="19" t="str">
        <f>IF(NOT(ISBLANK($A40)),SUM(H$3:H40)-SUM(I$3:I40),"")</f>
        <v/>
      </c>
      <c r="K40" s="10"/>
      <c r="L40" s="10"/>
      <c r="M40" s="10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4"/>
  <sheetViews>
    <sheetView workbookViewId="0">
      <selection activeCell="D19" sqref="D19"/>
    </sheetView>
  </sheetViews>
  <sheetFormatPr defaultRowHeight="15" x14ac:dyDescent="0.25"/>
  <cols>
    <col min="1" max="1" width="27" bestFit="1" customWidth="1"/>
    <col min="2" max="2" width="9" bestFit="1" customWidth="1"/>
    <col min="3" max="3" width="8" bestFit="1" customWidth="1"/>
    <col min="4" max="4" width="7.85546875" bestFit="1" customWidth="1"/>
    <col min="5" max="6" width="8" bestFit="1" customWidth="1"/>
    <col min="7" max="7" width="7.85546875" bestFit="1" customWidth="1"/>
    <col min="8" max="8" width="8.7109375" bestFit="1" customWidth="1"/>
    <col min="9" max="9" width="7.85546875" bestFit="1" customWidth="1"/>
    <col min="10" max="10" width="24.85546875" customWidth="1"/>
    <col min="11" max="11" width="8" bestFit="1" customWidth="1"/>
  </cols>
  <sheetData>
    <row r="1" spans="1:11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133</v>
      </c>
      <c r="J1" s="108" t="s">
        <v>134</v>
      </c>
      <c r="K1" s="108" t="s">
        <v>89</v>
      </c>
    </row>
    <row r="2" spans="1:11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</row>
    <row r="3" spans="1:11" x14ac:dyDescent="0.25">
      <c r="A3" s="11">
        <v>42996</v>
      </c>
      <c r="B3" s="7">
        <v>50</v>
      </c>
      <c r="C3" s="14"/>
      <c r="D3" s="18">
        <f>IF(NOT(ISBLANK($A3)),SUM(B$3:B3)-SUM(C$3:C3),"")</f>
        <v>50</v>
      </c>
      <c r="E3" s="7"/>
      <c r="F3" s="14"/>
      <c r="G3" s="18">
        <f>IF(NOT(ISBLANK($A3)),SUM(E$3:E3)-SUM(F$3:F3),"")</f>
        <v>0</v>
      </c>
      <c r="H3" s="8"/>
      <c r="I3" s="8"/>
      <c r="J3" s="8"/>
      <c r="K3" s="100">
        <f>IF(NOT(ISBLANK(A3)),SUMIF($I$3:$I3,$I3,$F$3:$F3),"")</f>
        <v>0</v>
      </c>
    </row>
    <row r="4" spans="1:11" x14ac:dyDescent="0.25">
      <c r="A4" s="11">
        <v>43009</v>
      </c>
      <c r="B4" s="7"/>
      <c r="C4" s="14"/>
      <c r="D4" s="18">
        <f>IF(NOT(ISBLANK($A4)),SUM(B$3:B4)-SUM(C$3:C4),"")</f>
        <v>50</v>
      </c>
      <c r="E4" s="7"/>
      <c r="F4" s="14">
        <v>58.17</v>
      </c>
      <c r="G4" s="18">
        <f>IF(NOT(ISBLANK($A4)),SUM(E$3:E4)-SUM(F$3:F4),"")</f>
        <v>-58.17</v>
      </c>
      <c r="H4" s="8" t="b">
        <v>1</v>
      </c>
      <c r="I4" s="8" t="s">
        <v>146</v>
      </c>
      <c r="J4" s="8" t="s">
        <v>147</v>
      </c>
      <c r="K4" s="100">
        <f>IF(NOT(ISBLANK(A4)),SUMIF($I$3:$I4,$I4,$F$3:$F4),"")</f>
        <v>58.17</v>
      </c>
    </row>
    <row r="5" spans="1:11" x14ac:dyDescent="0.25">
      <c r="A5" s="12">
        <v>43011</v>
      </c>
      <c r="B5" s="9">
        <v>75</v>
      </c>
      <c r="C5" s="15"/>
      <c r="D5" s="19">
        <f>IF(NOT(ISBLANK($A5)),SUM(B$3:B5)-SUM(C$3:C5),"")</f>
        <v>125</v>
      </c>
      <c r="E5" s="9"/>
      <c r="F5" s="15"/>
      <c r="G5" s="19">
        <f>IF(NOT(ISBLANK($A5)),SUM(E$3:E5)-SUM(F$3:F5),"")</f>
        <v>-58.17</v>
      </c>
      <c r="H5" s="10"/>
      <c r="I5" s="10"/>
      <c r="J5" s="10"/>
      <c r="K5" s="101">
        <f>IF(NOT(ISBLANK(A5)),SUMIF($I$3:$I5,$I5,$F$3:$F5),"")</f>
        <v>0</v>
      </c>
    </row>
    <row r="6" spans="1:11" x14ac:dyDescent="0.25">
      <c r="A6" s="12">
        <v>43011</v>
      </c>
      <c r="B6" s="9"/>
      <c r="C6" s="15">
        <v>58.17</v>
      </c>
      <c r="D6" s="19">
        <f>IF(NOT(ISBLANK($A6)),SUM(B$3:B6)-SUM(C$3:C6),"")</f>
        <v>66.83</v>
      </c>
      <c r="E6" s="9">
        <v>58.17</v>
      </c>
      <c r="F6" s="15"/>
      <c r="G6" s="19">
        <f>IF(NOT(ISBLANK($A6)),SUM(E$3:E6)-SUM(F$3:F6),"")</f>
        <v>0</v>
      </c>
      <c r="H6" s="10"/>
      <c r="I6" s="10"/>
      <c r="J6" s="10"/>
      <c r="K6" s="101">
        <f>IF(NOT(ISBLANK(A6)),SUMIF($I$3:$I6,$I6,$F$3:$F6),"")</f>
        <v>0</v>
      </c>
    </row>
    <row r="7" spans="1:11" x14ac:dyDescent="0.25">
      <c r="A7" s="11"/>
      <c r="B7" s="7"/>
      <c r="C7" s="14"/>
      <c r="D7" s="18" t="str">
        <f>IF(NOT(ISBLANK($A7)),SUM(B$3:B7)-SUM(C$3:C7),"")</f>
        <v/>
      </c>
      <c r="E7" s="7"/>
      <c r="F7" s="14"/>
      <c r="G7" s="18" t="str">
        <f>IF(NOT(ISBLANK($A7)),SUM(E$3:E7)-SUM(F$3:F7),"")</f>
        <v/>
      </c>
      <c r="H7" s="8"/>
      <c r="I7" s="8"/>
      <c r="J7" s="8"/>
      <c r="K7" s="100" t="str">
        <f>IF(NOT(ISBLANK(A7)),SUMIF($I$3:$I7,$I7,$F$3:$F7),"")</f>
        <v/>
      </c>
    </row>
    <row r="8" spans="1:11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8"/>
      <c r="I8" s="8"/>
      <c r="J8" s="8"/>
      <c r="K8" s="100" t="str">
        <f>IF(NOT(ISBLANK(A8)),SUMIF($I$3:$I8,$I8,$F$3:$F8),"")</f>
        <v/>
      </c>
    </row>
    <row r="9" spans="1:11" x14ac:dyDescent="0.25">
      <c r="A9" s="12"/>
      <c r="B9" s="9"/>
      <c r="C9" s="15"/>
      <c r="D9" s="19" t="str">
        <f>IF(NOT(ISBLANK($A9)),SUM(B$3:B9)-SUM(C$3:C9),"")</f>
        <v/>
      </c>
      <c r="E9" s="9"/>
      <c r="F9" s="15"/>
      <c r="G9" s="19" t="str">
        <f>IF(NOT(ISBLANK($A9)),SUM(E$3:E9)-SUM(F$3:F9),"")</f>
        <v/>
      </c>
      <c r="H9" s="10"/>
      <c r="I9" s="10"/>
      <c r="J9" s="10"/>
      <c r="K9" s="101" t="str">
        <f>IF(NOT(ISBLANK(A9)),SUMIF($I$3:$I9,$I9,$F$3:$F9),"")</f>
        <v/>
      </c>
    </row>
    <row r="10" spans="1:11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1" t="str">
        <f>IF(NOT(ISBLANK(A10)),SUMIF($I$3:$I10,$I10,$F$3:$F10),"")</f>
        <v/>
      </c>
    </row>
    <row r="11" spans="1:11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100" t="str">
        <f>IF(NOT(ISBLANK(A11)),SUMIF($I$3:$I11,$I11,$F$3:$F11),"")</f>
        <v/>
      </c>
    </row>
    <row r="12" spans="1:11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100" t="str">
        <f>IF(NOT(ISBLANK(A12)),SUMIF($I$3:$I12,$I12,$F$3:$F12),"")</f>
        <v/>
      </c>
    </row>
    <row r="13" spans="1:11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1" t="str">
        <f>IF(NOT(ISBLANK(A13)),SUMIF($I$3:$I13,$I13,$F$3:$F13),"")</f>
        <v/>
      </c>
    </row>
    <row r="14" spans="1:11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1" t="str">
        <f>IF(NOT(ISBLANK(A14)),SUMIF($I$3:$I14,$I14,$F$3:$F14),"")</f>
        <v/>
      </c>
    </row>
    <row r="15" spans="1:11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100" t="str">
        <f>IF(NOT(ISBLANK(A15)),SUMIF($I$3:$I15,$I15,$F$3:$F15),"")</f>
        <v/>
      </c>
    </row>
    <row r="16" spans="1:11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100" t="str">
        <f>IF(NOT(ISBLANK(A16)),SUMIF($I$3:$I16,$I16,$F$3:$F16),"")</f>
        <v/>
      </c>
    </row>
    <row r="17" spans="1:11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1" t="str">
        <f>IF(NOT(ISBLANK(A17)),SUMIF($I$3:$I17,$I17,$F$3:$F17),"")</f>
        <v/>
      </c>
    </row>
    <row r="18" spans="1:11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1" t="str">
        <f>IF(NOT(ISBLANK(A18)),SUMIF($I$3:$I18,$I18,$F$3:$F18),"")</f>
        <v/>
      </c>
    </row>
    <row r="19" spans="1:11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100" t="str">
        <f>IF(NOT(ISBLANK(A19)),SUMIF($I$3:$I19,$I19,$F$3:$F19),"")</f>
        <v/>
      </c>
    </row>
    <row r="20" spans="1:11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100" t="str">
        <f>IF(NOT(ISBLANK(A20)),SUMIF($I$3:$I20,$I20,$F$3:$F20),"")</f>
        <v/>
      </c>
    </row>
    <row r="21" spans="1:11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1" t="str">
        <f>IF(NOT(ISBLANK(A21)),SUMIF($I$3:$I21,$I21,$F$3:$F21),"")</f>
        <v/>
      </c>
    </row>
    <row r="22" spans="1:11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1" t="str">
        <f>IF(NOT(ISBLANK(A22)),SUMIF($I$3:$I22,$I22,$F$3:$F22),"")</f>
        <v/>
      </c>
    </row>
    <row r="23" spans="1:11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100" t="str">
        <f>IF(NOT(ISBLANK(A23)),SUMIF($I$3:$I23,$I23,$F$3:$F23),"")</f>
        <v/>
      </c>
    </row>
    <row r="24" spans="1:11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100" t="str">
        <f>IF(NOT(ISBLANK(A24)),SUMIF($I$3:$I24,$I24,$F$3:$F24),"")</f>
        <v/>
      </c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24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24"/>
  <sheetViews>
    <sheetView workbookViewId="0">
      <selection sqref="A1:K24"/>
    </sheetView>
  </sheetViews>
  <sheetFormatPr defaultRowHeight="15" x14ac:dyDescent="0.25"/>
  <cols>
    <col min="1" max="1" width="27" bestFit="1" customWidth="1"/>
    <col min="2" max="2" width="10.5703125" bestFit="1" customWidth="1"/>
    <col min="3" max="3" width="8" bestFit="1" customWidth="1"/>
    <col min="4" max="4" width="7.85546875" bestFit="1" customWidth="1"/>
    <col min="5" max="5" width="8" bestFit="1" customWidth="1"/>
    <col min="6" max="6" width="10.5703125" bestFit="1" customWidth="1"/>
    <col min="7" max="7" width="9" bestFit="1" customWidth="1"/>
    <col min="8" max="8" width="8.7109375" bestFit="1" customWidth="1"/>
  </cols>
  <sheetData>
    <row r="1" spans="1:11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133</v>
      </c>
      <c r="J1" s="108" t="s">
        <v>134</v>
      </c>
      <c r="K1" s="108" t="s">
        <v>89</v>
      </c>
    </row>
    <row r="2" spans="1:11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</row>
    <row r="3" spans="1:11" x14ac:dyDescent="0.25">
      <c r="A3" s="11">
        <v>42996</v>
      </c>
      <c r="B3" s="7">
        <v>100</v>
      </c>
      <c r="C3" s="14"/>
      <c r="D3" s="18">
        <f>IF(NOT(ISBLANK($A3)),SUM(B$3:B3)-SUM(C$3:C3),"")</f>
        <v>100</v>
      </c>
      <c r="E3" s="7"/>
      <c r="F3" s="14"/>
      <c r="G3" s="18">
        <f>IF(NOT(ISBLANK($A3)),SUM(E$3:E3)-SUM(F$3:F3),"")</f>
        <v>0</v>
      </c>
      <c r="H3" s="8"/>
      <c r="I3" s="8"/>
      <c r="J3" s="8"/>
      <c r="K3" s="100">
        <f>IF(NOT(ISBLANK(A3)),SUMIF($I$3:$I3,$I3,$F$3:$F3),"")</f>
        <v>0</v>
      </c>
    </row>
    <row r="4" spans="1:11" x14ac:dyDescent="0.25">
      <c r="A4" s="11">
        <v>43009</v>
      </c>
      <c r="B4" s="7"/>
      <c r="C4" s="14"/>
      <c r="D4" s="18">
        <f>IF(NOT(ISBLANK($A4)),SUM(B$3:B4)-SUM(C$3:C4),"")</f>
        <v>100</v>
      </c>
      <c r="E4" s="7"/>
      <c r="F4" s="14">
        <v>14.68</v>
      </c>
      <c r="G4" s="18">
        <f>IF(NOT(ISBLANK($A4)),SUM(E$3:E4)-SUM(F$3:F4),"")</f>
        <v>-14.68</v>
      </c>
      <c r="H4" s="8" t="b">
        <v>1</v>
      </c>
      <c r="I4" s="8" t="s">
        <v>107</v>
      </c>
      <c r="J4" s="8" t="s">
        <v>138</v>
      </c>
      <c r="K4" s="100">
        <f>IF(NOT(ISBLANK(A4)),SUMIF($I$3:$I4,$I4,$F$3:$F4),"")</f>
        <v>14.68</v>
      </c>
    </row>
    <row r="5" spans="1:11" x14ac:dyDescent="0.25">
      <c r="A5" s="12">
        <v>43009</v>
      </c>
      <c r="B5" s="9"/>
      <c r="C5" s="15">
        <v>14.68</v>
      </c>
      <c r="D5" s="19">
        <f>IF(NOT(ISBLANK($A5)),SUM(B$3:B5)-SUM(C$3:C5),"")</f>
        <v>85.32</v>
      </c>
      <c r="E5" s="9">
        <v>14.68</v>
      </c>
      <c r="F5" s="15"/>
      <c r="G5" s="19">
        <f>IF(NOT(ISBLANK($A5)),SUM(E$3:E5)-SUM(F$3:F5),"")</f>
        <v>0</v>
      </c>
      <c r="H5" s="10"/>
      <c r="I5" s="10"/>
      <c r="J5" s="10"/>
      <c r="K5" s="101">
        <f>IF(NOT(ISBLANK(A5)),SUMIF($I$3:$I5,$I5,$F$3:$F5),"")</f>
        <v>0</v>
      </c>
    </row>
    <row r="6" spans="1:11" x14ac:dyDescent="0.25">
      <c r="A6" s="12"/>
      <c r="B6" s="9"/>
      <c r="C6" s="15"/>
      <c r="D6" s="19" t="str">
        <f>IF(NOT(ISBLANK($A6)),SUM(B$3:B6)-SUM(C$3:C6),"")</f>
        <v/>
      </c>
      <c r="E6" s="9"/>
      <c r="F6" s="15"/>
      <c r="G6" s="19" t="str">
        <f>IF(NOT(ISBLANK($A6)),SUM(E$3:E6)-SUM(F$3:F6),"")</f>
        <v/>
      </c>
      <c r="H6" s="10"/>
      <c r="I6" s="10"/>
      <c r="J6" s="10"/>
      <c r="K6" s="101" t="str">
        <f>IF(NOT(ISBLANK(A6)),SUMIF($I$3:$I6,$I6,$F$3:$F6),"")</f>
        <v/>
      </c>
    </row>
    <row r="7" spans="1:11" x14ac:dyDescent="0.25">
      <c r="A7" s="11"/>
      <c r="B7" s="7"/>
      <c r="C7" s="14"/>
      <c r="D7" s="18" t="str">
        <f>IF(NOT(ISBLANK($A7)),SUM(B$3:B7)-SUM(C$3:C7),"")</f>
        <v/>
      </c>
      <c r="E7" s="7"/>
      <c r="F7" s="14"/>
      <c r="G7" s="18" t="str">
        <f>IF(NOT(ISBLANK($A7)),SUM(E$3:E7)-SUM(F$3:F7),"")</f>
        <v/>
      </c>
      <c r="H7" s="8"/>
      <c r="I7" s="8"/>
      <c r="J7" s="8"/>
      <c r="K7" s="100" t="str">
        <f>IF(NOT(ISBLANK(A7)),SUMIF($I$3:$I7,$I7,$F$3:$F7),"")</f>
        <v/>
      </c>
    </row>
    <row r="8" spans="1:11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8"/>
      <c r="I8" s="8"/>
      <c r="J8" s="8"/>
      <c r="K8" s="100" t="str">
        <f>IF(NOT(ISBLANK(A8)),SUMIF($I$3:$I8,$I8,$F$3:$F8),"")</f>
        <v/>
      </c>
    </row>
    <row r="9" spans="1:11" x14ac:dyDescent="0.25">
      <c r="A9" s="12"/>
      <c r="B9" s="9"/>
      <c r="C9" s="15"/>
      <c r="D9" s="19" t="str">
        <f>IF(NOT(ISBLANK($A9)),SUM(B$3:B9)-SUM(C$3:C9),"")</f>
        <v/>
      </c>
      <c r="E9" s="9"/>
      <c r="F9" s="15"/>
      <c r="G9" s="19" t="str">
        <f>IF(NOT(ISBLANK($A9)),SUM(E$3:E9)-SUM(F$3:F9),"")</f>
        <v/>
      </c>
      <c r="H9" s="10"/>
      <c r="I9" s="10"/>
      <c r="J9" s="10"/>
      <c r="K9" s="101" t="str">
        <f>IF(NOT(ISBLANK(A9)),SUMIF($I$3:$I9,$I9,$F$3:$F9),"")</f>
        <v/>
      </c>
    </row>
    <row r="10" spans="1:11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1" t="str">
        <f>IF(NOT(ISBLANK(A10)),SUMIF($I$3:$I10,$I10,$F$3:$F10),"")</f>
        <v/>
      </c>
    </row>
    <row r="11" spans="1:11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100" t="str">
        <f>IF(NOT(ISBLANK(A11)),SUMIF($I$3:$I11,$I11,$F$3:$F11),"")</f>
        <v/>
      </c>
    </row>
    <row r="12" spans="1:11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100" t="str">
        <f>IF(NOT(ISBLANK(A12)),SUMIF($I$3:$I12,$I12,$F$3:$F12),"")</f>
        <v/>
      </c>
    </row>
    <row r="13" spans="1:11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1" t="str">
        <f>IF(NOT(ISBLANK(A13)),SUMIF($I$3:$I13,$I13,$F$3:$F13),"")</f>
        <v/>
      </c>
    </row>
    <row r="14" spans="1:11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1" t="str">
        <f>IF(NOT(ISBLANK(A14)),SUMIF($I$3:$I14,$I14,$F$3:$F14),"")</f>
        <v/>
      </c>
    </row>
    <row r="15" spans="1:11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100" t="str">
        <f>IF(NOT(ISBLANK(A15)),SUMIF($I$3:$I15,$I15,$F$3:$F15),"")</f>
        <v/>
      </c>
    </row>
    <row r="16" spans="1:11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100" t="str">
        <f>IF(NOT(ISBLANK(A16)),SUMIF($I$3:$I16,$I16,$F$3:$F16),"")</f>
        <v/>
      </c>
    </row>
    <row r="17" spans="1:11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1" t="str">
        <f>IF(NOT(ISBLANK(A17)),SUMIF($I$3:$I17,$I17,$F$3:$F17),"")</f>
        <v/>
      </c>
    </row>
    <row r="18" spans="1:11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1" t="str">
        <f>IF(NOT(ISBLANK(A18)),SUMIF($I$3:$I18,$I18,$F$3:$F18),"")</f>
        <v/>
      </c>
    </row>
    <row r="19" spans="1:11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100" t="str">
        <f>IF(NOT(ISBLANK(A19)),SUMIF($I$3:$I19,$I19,$F$3:$F19),"")</f>
        <v/>
      </c>
    </row>
    <row r="20" spans="1:11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100" t="str">
        <f>IF(NOT(ISBLANK(A20)),SUMIF($I$3:$I20,$I20,$F$3:$F20),"")</f>
        <v/>
      </c>
    </row>
    <row r="21" spans="1:11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1" t="str">
        <f>IF(NOT(ISBLANK(A21)),SUMIF($I$3:$I21,$I21,$F$3:$F21),"")</f>
        <v/>
      </c>
    </row>
    <row r="22" spans="1:11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1" t="str">
        <f>IF(NOT(ISBLANK(A22)),SUMIF($I$3:$I22,$I22,$F$3:$F22),"")</f>
        <v/>
      </c>
    </row>
    <row r="23" spans="1:11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100" t="str">
        <f>IF(NOT(ISBLANK(A23)),SUMIF($I$3:$I23,$I23,$F$3:$F23),"")</f>
        <v/>
      </c>
    </row>
    <row r="24" spans="1:11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100" t="str">
        <f>IF(NOT(ISBLANK(A24)),SUMIF($I$3:$I24,$I24,$F$3:$F24),"")</f>
        <v/>
      </c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6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C11"/>
  <sheetViews>
    <sheetView zoomScale="208" zoomScaleNormal="208" workbookViewId="0">
      <selection activeCell="B10" sqref="B10:C10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3" x14ac:dyDescent="0.25">
      <c r="A1" s="98">
        <v>2843.14</v>
      </c>
      <c r="B1" t="s">
        <v>9</v>
      </c>
      <c r="C1" s="98"/>
    </row>
    <row r="2" spans="1:3" x14ac:dyDescent="0.25">
      <c r="A2" s="98">
        <v>-600</v>
      </c>
      <c r="B2" t="s">
        <v>121</v>
      </c>
      <c r="C2" t="s">
        <v>140</v>
      </c>
    </row>
    <row r="3" spans="1:3" x14ac:dyDescent="0.25">
      <c r="A3" s="105">
        <v>-500</v>
      </c>
      <c r="B3" s="106" t="s">
        <v>122</v>
      </c>
      <c r="C3" s="106" t="s">
        <v>140</v>
      </c>
    </row>
    <row r="4" spans="1:3" x14ac:dyDescent="0.25">
      <c r="A4" s="98">
        <v>-75</v>
      </c>
      <c r="B4" t="s">
        <v>123</v>
      </c>
      <c r="C4" t="s">
        <v>140</v>
      </c>
    </row>
    <row r="5" spans="1:3" x14ac:dyDescent="0.25">
      <c r="A5" s="98">
        <v>-100</v>
      </c>
      <c r="B5" s="102" t="s">
        <v>124</v>
      </c>
      <c r="C5" s="102" t="s">
        <v>140</v>
      </c>
    </row>
    <row r="6" spans="1:3" x14ac:dyDescent="0.25">
      <c r="A6" s="98">
        <v>-1100</v>
      </c>
      <c r="B6" s="104" t="s">
        <v>125</v>
      </c>
      <c r="C6" s="104" t="s">
        <v>140</v>
      </c>
    </row>
    <row r="7" spans="1:3" x14ac:dyDescent="0.25">
      <c r="A7" s="98">
        <v>-75</v>
      </c>
      <c r="B7" s="107" t="s">
        <v>126</v>
      </c>
      <c r="C7" s="107" t="s">
        <v>140</v>
      </c>
    </row>
    <row r="8" spans="1:3" x14ac:dyDescent="0.25">
      <c r="A8" s="98">
        <v>-50</v>
      </c>
      <c r="B8" t="s">
        <v>131</v>
      </c>
    </row>
    <row r="9" spans="1:3" x14ac:dyDescent="0.25">
      <c r="A9" s="98">
        <v>-100</v>
      </c>
      <c r="B9" t="s">
        <v>128</v>
      </c>
      <c r="C9" t="s">
        <v>140</v>
      </c>
    </row>
    <row r="10" spans="1:3" x14ac:dyDescent="0.25">
      <c r="A10" s="98">
        <v>-75</v>
      </c>
      <c r="B10" s="103" t="s">
        <v>139</v>
      </c>
      <c r="C10" s="103" t="s">
        <v>140</v>
      </c>
    </row>
    <row r="11" spans="1:3" x14ac:dyDescent="0.25">
      <c r="A11" s="98">
        <f>SUM(A1:A10)</f>
        <v>168.13999999999987</v>
      </c>
      <c r="B1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abSelected="1" topLeftCell="A19" zoomScaleNormal="100" workbookViewId="0">
      <selection activeCell="A45" sqref="A45"/>
    </sheetView>
  </sheetViews>
  <sheetFormatPr defaultRowHeight="15" x14ac:dyDescent="0.25"/>
  <cols>
    <col min="1" max="1" width="17.5703125" style="35" bestFit="1" customWidth="1"/>
    <col min="2" max="2" width="39.7109375" style="35" bestFit="1" customWidth="1"/>
    <col min="3" max="4" width="9.140625" style="35"/>
    <col min="5" max="5" width="12.140625" style="35" customWidth="1"/>
    <col min="6" max="6" width="9" style="35" bestFit="1" customWidth="1"/>
    <col min="7" max="7" width="50" style="35" customWidth="1"/>
    <col min="8" max="8" width="13.5703125" style="35" customWidth="1"/>
    <col min="9" max="11" width="10.7109375" style="35" customWidth="1"/>
    <col min="12" max="16384" width="9.140625" style="35"/>
  </cols>
  <sheetData>
    <row r="1" spans="1:12" ht="21" x14ac:dyDescent="0.35">
      <c r="A1" s="115" t="s">
        <v>76</v>
      </c>
      <c r="B1" s="116"/>
      <c r="D1" s="115" t="s">
        <v>110</v>
      </c>
      <c r="E1" s="133"/>
      <c r="F1" s="133"/>
      <c r="G1" s="133"/>
      <c r="H1" s="133"/>
      <c r="I1" s="133"/>
      <c r="J1" s="133"/>
      <c r="K1" s="116"/>
    </row>
    <row r="2" spans="1:12" ht="15" customHeight="1" x14ac:dyDescent="0.35">
      <c r="A2" s="77">
        <v>2500</v>
      </c>
      <c r="B2" s="43" t="s">
        <v>109</v>
      </c>
      <c r="D2" s="56"/>
      <c r="E2" s="124" t="s">
        <v>108</v>
      </c>
      <c r="F2" s="124"/>
      <c r="G2" s="124"/>
      <c r="H2" s="124"/>
      <c r="I2" s="124"/>
      <c r="J2" s="55">
        <v>43160</v>
      </c>
      <c r="K2" s="54">
        <v>43163</v>
      </c>
    </row>
    <row r="3" spans="1:12" ht="15" customHeight="1" x14ac:dyDescent="0.35">
      <c r="A3" s="77">
        <v>830</v>
      </c>
      <c r="B3" s="43" t="s">
        <v>111</v>
      </c>
      <c r="D3" s="53"/>
      <c r="E3" s="130" t="s">
        <v>99</v>
      </c>
      <c r="F3" s="129" t="s">
        <v>98</v>
      </c>
      <c r="G3" s="129"/>
      <c r="H3" s="125" t="s">
        <v>66</v>
      </c>
      <c r="I3" s="127">
        <f>J2-1</f>
        <v>43159</v>
      </c>
      <c r="J3" s="125" t="s">
        <v>65</v>
      </c>
      <c r="K3" s="121">
        <f>K2+1</f>
        <v>43164</v>
      </c>
    </row>
    <row r="4" spans="1:12" ht="15" customHeight="1" x14ac:dyDescent="0.35">
      <c r="A4" s="77">
        <v>750</v>
      </c>
      <c r="B4" s="43" t="s">
        <v>112</v>
      </c>
      <c r="D4" s="52"/>
      <c r="E4" s="131"/>
      <c r="F4" s="123" t="s">
        <v>97</v>
      </c>
      <c r="G4" s="123"/>
      <c r="H4" s="126"/>
      <c r="I4" s="128"/>
      <c r="J4" s="126"/>
      <c r="K4" s="122"/>
    </row>
    <row r="5" spans="1:12" ht="15" customHeight="1" x14ac:dyDescent="0.35">
      <c r="A5" s="77">
        <v>4782.16</v>
      </c>
      <c r="B5" s="43" t="s">
        <v>107</v>
      </c>
      <c r="D5" s="56"/>
      <c r="E5" s="124" t="s">
        <v>104</v>
      </c>
      <c r="F5" s="124"/>
      <c r="G5" s="124"/>
      <c r="H5" s="124"/>
      <c r="I5" s="124"/>
      <c r="J5" s="55">
        <v>43267</v>
      </c>
      <c r="K5" s="54">
        <v>43268</v>
      </c>
    </row>
    <row r="6" spans="1:12" ht="15" customHeight="1" x14ac:dyDescent="0.35">
      <c r="A6" s="77">
        <v>4210.3999999999996</v>
      </c>
      <c r="B6" s="43" t="s">
        <v>106</v>
      </c>
      <c r="D6" s="53"/>
      <c r="E6" s="130" t="s">
        <v>99</v>
      </c>
      <c r="F6" s="129" t="s">
        <v>103</v>
      </c>
      <c r="G6" s="129"/>
      <c r="H6" s="85"/>
      <c r="I6" s="127">
        <f>J5-IF(L6,1,0)</f>
        <v>43266</v>
      </c>
      <c r="J6" s="125" t="s">
        <v>65</v>
      </c>
      <c r="K6" s="121">
        <f>K5</f>
        <v>43268</v>
      </c>
      <c r="L6" s="87" t="b">
        <v>1</v>
      </c>
    </row>
    <row r="7" spans="1:12" ht="15" customHeight="1" x14ac:dyDescent="0.35">
      <c r="A7" s="60">
        <v>2500</v>
      </c>
      <c r="B7" s="43" t="s">
        <v>105</v>
      </c>
      <c r="D7" s="52"/>
      <c r="E7" s="131"/>
      <c r="F7" s="123" t="s">
        <v>101</v>
      </c>
      <c r="G7" s="123"/>
      <c r="H7" s="86"/>
      <c r="I7" s="128"/>
      <c r="J7" s="126"/>
      <c r="K7" s="122"/>
    </row>
    <row r="8" spans="1:12" ht="15" customHeight="1" x14ac:dyDescent="0.35">
      <c r="A8" s="67">
        <f>2*F48</f>
        <v>3800</v>
      </c>
      <c r="B8" s="43" t="s">
        <v>57</v>
      </c>
      <c r="D8" s="56"/>
      <c r="E8" s="124" t="s">
        <v>100</v>
      </c>
      <c r="F8" s="124"/>
      <c r="G8" s="124"/>
      <c r="H8" s="124"/>
      <c r="I8" s="124"/>
      <c r="J8" s="55">
        <v>43279</v>
      </c>
      <c r="K8" s="54">
        <v>43282</v>
      </c>
    </row>
    <row r="9" spans="1:12" ht="15" customHeight="1" x14ac:dyDescent="0.35">
      <c r="A9" s="67">
        <f>F18+F20</f>
        <v>1722</v>
      </c>
      <c r="B9" s="43" t="s">
        <v>102</v>
      </c>
      <c r="D9" s="53"/>
      <c r="E9" s="130" t="s">
        <v>99</v>
      </c>
      <c r="F9" s="129" t="s">
        <v>98</v>
      </c>
      <c r="G9" s="129"/>
      <c r="H9" s="125" t="s">
        <v>66</v>
      </c>
      <c r="I9" s="127">
        <f>J8-1</f>
        <v>43278</v>
      </c>
      <c r="J9" s="125" t="s">
        <v>65</v>
      </c>
      <c r="K9" s="121">
        <f>K8+1</f>
        <v>43283</v>
      </c>
    </row>
    <row r="10" spans="1:12" ht="15" customHeight="1" x14ac:dyDescent="0.35">
      <c r="A10" s="67">
        <f>F42*(F43+F41*F44)+F45+F41*F46</f>
        <v>2800</v>
      </c>
      <c r="B10" s="43" t="str">
        <f>"Nationals Winnipeg, "&amp;$F$41&amp;" days"</f>
        <v>Nationals Winnipeg, 8 days</v>
      </c>
      <c r="D10" s="52"/>
      <c r="E10" s="131"/>
      <c r="F10" s="123" t="s">
        <v>97</v>
      </c>
      <c r="G10" s="123"/>
      <c r="H10" s="126"/>
      <c r="I10" s="128"/>
      <c r="J10" s="126"/>
      <c r="K10" s="122"/>
    </row>
    <row r="11" spans="1:12" ht="15" customHeight="1" x14ac:dyDescent="0.25">
      <c r="A11" s="67">
        <f>IF(G23,2*F33+F26*F27*F34+F35+F36,0)</f>
        <v>0</v>
      </c>
      <c r="B11" s="43" t="str">
        <f>"Easterns Windsor, "&amp;$F$26&amp;" days (Flying)"</f>
        <v>Easterns Windsor, 6 days (Flying)</v>
      </c>
      <c r="D11" s="46"/>
      <c r="E11" s="44"/>
      <c r="F11" s="61"/>
      <c r="G11" s="44"/>
      <c r="K11" s="73"/>
    </row>
    <row r="12" spans="1:12" ht="21.75" thickBot="1" x14ac:dyDescent="0.4">
      <c r="A12" s="66">
        <f>SUM(A2:A11)</f>
        <v>23894.559999999998</v>
      </c>
      <c r="B12" s="65" t="s">
        <v>89</v>
      </c>
      <c r="D12" s="46"/>
      <c r="E12" s="44" t="s">
        <v>10</v>
      </c>
      <c r="F12" s="61">
        <f>1000*80/1000*1.3</f>
        <v>104</v>
      </c>
      <c r="G12" s="44" t="s">
        <v>96</v>
      </c>
      <c r="K12" s="73"/>
    </row>
    <row r="13" spans="1:12" ht="15" customHeight="1" x14ac:dyDescent="0.25">
      <c r="D13" s="46"/>
      <c r="E13" s="44" t="s">
        <v>95</v>
      </c>
      <c r="F13" s="60">
        <v>40</v>
      </c>
      <c r="G13" s="44" t="s">
        <v>94</v>
      </c>
      <c r="H13" s="76"/>
      <c r="I13" s="75"/>
      <c r="J13" s="74"/>
      <c r="K13" s="73"/>
    </row>
    <row r="14" spans="1:12" ht="15" customHeight="1" thickBot="1" x14ac:dyDescent="0.3">
      <c r="D14" s="46"/>
      <c r="E14" s="44" t="s">
        <v>93</v>
      </c>
      <c r="F14" s="60">
        <v>150</v>
      </c>
      <c r="G14" s="44" t="s">
        <v>71</v>
      </c>
      <c r="H14" s="44"/>
      <c r="I14" s="44"/>
      <c r="J14" s="44"/>
      <c r="K14" s="43"/>
    </row>
    <row r="15" spans="1:12" ht="21" x14ac:dyDescent="0.35">
      <c r="A15" s="115" t="s">
        <v>82</v>
      </c>
      <c r="B15" s="116"/>
      <c r="D15" s="46"/>
      <c r="E15" s="44" t="s">
        <v>63</v>
      </c>
      <c r="F15" s="44">
        <f>(K3-I3)+(K6-I6)+(K9-I9)</f>
        <v>12</v>
      </c>
      <c r="G15" s="72" t="s">
        <v>92</v>
      </c>
      <c r="H15" s="44"/>
      <c r="I15" s="44"/>
      <c r="J15" s="44"/>
      <c r="K15" s="43"/>
    </row>
    <row r="16" spans="1:12" ht="15" customHeight="1" x14ac:dyDescent="0.25">
      <c r="A16" s="69">
        <f>A2</f>
        <v>2500</v>
      </c>
      <c r="B16" s="43" t="str">
        <f>B2</f>
        <v>meet fees</v>
      </c>
      <c r="D16" s="46"/>
      <c r="E16" s="44" t="s">
        <v>62</v>
      </c>
      <c r="F16" s="71">
        <v>2</v>
      </c>
      <c r="G16" s="44"/>
      <c r="H16" s="44"/>
      <c r="I16" s="44"/>
      <c r="J16" s="44"/>
      <c r="K16" s="43"/>
    </row>
    <row r="17" spans="1:11" ht="15" customHeight="1" x14ac:dyDescent="0.25">
      <c r="A17" s="69">
        <f t="shared" ref="A17:B18" si="0">A3</f>
        <v>830</v>
      </c>
      <c r="B17" s="43" t="str">
        <f t="shared" si="0"/>
        <v>Belleville</v>
      </c>
      <c r="D17" s="46"/>
      <c r="E17" s="44" t="s">
        <v>91</v>
      </c>
      <c r="F17" s="44"/>
      <c r="G17" s="44"/>
      <c r="H17" s="44"/>
      <c r="I17" s="44"/>
      <c r="J17" s="44"/>
      <c r="K17" s="43"/>
    </row>
    <row r="18" spans="1:11" ht="15" customHeight="1" x14ac:dyDescent="0.25">
      <c r="A18" s="69">
        <f t="shared" si="0"/>
        <v>750</v>
      </c>
      <c r="B18" s="43" t="str">
        <f t="shared" si="0"/>
        <v>Point Claire</v>
      </c>
      <c r="D18" s="46"/>
      <c r="E18" s="70">
        <f>F15*F16</f>
        <v>24</v>
      </c>
      <c r="F18" s="68">
        <f>E18*F13</f>
        <v>960</v>
      </c>
      <c r="G18" s="44" t="str">
        <f>(K3-I3)+(K9-I9)&amp;" days of Championships, "&amp;K6-I6&amp;" days of Festival"</f>
        <v>10 days of Championships, 2 days of Festival</v>
      </c>
      <c r="H18" s="44"/>
      <c r="I18" s="44"/>
      <c r="J18" s="44"/>
      <c r="K18" s="43"/>
    </row>
    <row r="19" spans="1:11" ht="15" customHeight="1" x14ac:dyDescent="0.25">
      <c r="A19" s="69">
        <f t="shared" ref="A19:B24" si="1">A5</f>
        <v>4782.16</v>
      </c>
      <c r="B19" s="43" t="str">
        <f t="shared" si="1"/>
        <v>William</v>
      </c>
      <c r="D19" s="46"/>
      <c r="E19" s="44" t="s">
        <v>90</v>
      </c>
      <c r="F19" s="44"/>
      <c r="G19" s="44"/>
      <c r="H19" s="44"/>
      <c r="I19" s="44"/>
      <c r="J19" s="44"/>
      <c r="K19" s="43"/>
    </row>
    <row r="20" spans="1:11" ht="15" customHeight="1" x14ac:dyDescent="0.25">
      <c r="A20" s="69">
        <f t="shared" si="1"/>
        <v>4210.3999999999996</v>
      </c>
      <c r="B20" s="43" t="str">
        <f t="shared" si="1"/>
        <v>Olivier</v>
      </c>
      <c r="D20" s="46"/>
      <c r="E20" s="44">
        <v>3</v>
      </c>
      <c r="F20" s="68">
        <f>E20*(F14+F12)</f>
        <v>762</v>
      </c>
      <c r="G20" s="44"/>
      <c r="H20" s="44"/>
      <c r="I20" s="44"/>
      <c r="J20" s="44"/>
      <c r="K20" s="43"/>
    </row>
    <row r="21" spans="1:11" ht="15" customHeight="1" thickBot="1" x14ac:dyDescent="0.3">
      <c r="A21" s="69">
        <f t="shared" si="1"/>
        <v>2500</v>
      </c>
      <c r="B21" s="43" t="str">
        <f t="shared" si="1"/>
        <v>Olivier Skiing</v>
      </c>
      <c r="D21" s="39"/>
      <c r="E21" s="37"/>
      <c r="F21" s="37"/>
      <c r="G21" s="37"/>
      <c r="H21" s="37"/>
      <c r="I21" s="37"/>
      <c r="J21" s="37"/>
      <c r="K21" s="36"/>
    </row>
    <row r="22" spans="1:11" ht="21" x14ac:dyDescent="0.35">
      <c r="A22" s="69">
        <f t="shared" si="1"/>
        <v>3800</v>
      </c>
      <c r="B22" s="43" t="str">
        <f t="shared" si="1"/>
        <v>Training Camp</v>
      </c>
      <c r="D22" s="115" t="s">
        <v>88</v>
      </c>
      <c r="E22" s="133"/>
      <c r="F22" s="133"/>
      <c r="G22" s="133"/>
      <c r="H22" s="58" t="s">
        <v>87</v>
      </c>
      <c r="I22" s="58"/>
      <c r="J22" s="64">
        <v>43202</v>
      </c>
      <c r="K22" s="63">
        <v>43205</v>
      </c>
    </row>
    <row r="23" spans="1:11" ht="21" x14ac:dyDescent="0.35">
      <c r="A23" s="69">
        <f t="shared" si="1"/>
        <v>1722</v>
      </c>
      <c r="B23" s="43" t="str">
        <f t="shared" si="1"/>
        <v xml:space="preserve">Toronto Meets </v>
      </c>
      <c r="D23" s="84" t="str">
        <f>IF(G23,"","NOT ")&amp;"ATTENDING"</f>
        <v>NOT ATTENDING</v>
      </c>
      <c r="E23" s="80"/>
      <c r="F23" s="80"/>
      <c r="G23" s="80" t="b">
        <v>0</v>
      </c>
      <c r="H23" s="81"/>
      <c r="I23" s="81"/>
      <c r="J23" s="82"/>
      <c r="K23" s="83"/>
    </row>
    <row r="24" spans="1:11" ht="15" customHeight="1" x14ac:dyDescent="0.25">
      <c r="A24" s="69">
        <f t="shared" si="1"/>
        <v>2800</v>
      </c>
      <c r="B24" s="43" t="str">
        <f t="shared" si="1"/>
        <v>Nationals Winnipeg, 8 days</v>
      </c>
      <c r="D24" s="46"/>
      <c r="E24" s="132" t="s">
        <v>86</v>
      </c>
      <c r="F24" s="129" t="s">
        <v>85</v>
      </c>
      <c r="G24" s="129"/>
      <c r="H24" s="125" t="s">
        <v>66</v>
      </c>
      <c r="I24" s="127">
        <f>J22-2</f>
        <v>43200</v>
      </c>
      <c r="J24" s="125" t="s">
        <v>65</v>
      </c>
      <c r="K24" s="121">
        <f>K22+1</f>
        <v>43206</v>
      </c>
    </row>
    <row r="25" spans="1:11" ht="15" customHeight="1" thickBot="1" x14ac:dyDescent="0.3">
      <c r="A25" s="67">
        <f>IF(G23,F28+F26*F27*F30+F31+F29,0)</f>
        <v>0</v>
      </c>
      <c r="B25" s="43" t="str">
        <f>"Easterns Windsor, "&amp;$F$26&amp;" days (Driving 10 hours)"</f>
        <v>Easterns Windsor, 6 days (Driving 10 hours)</v>
      </c>
      <c r="D25" s="46"/>
      <c r="E25" s="132"/>
      <c r="F25" s="129" t="s">
        <v>84</v>
      </c>
      <c r="G25" s="129"/>
      <c r="H25" s="125"/>
      <c r="I25" s="127"/>
      <c r="J25" s="125"/>
      <c r="K25" s="121"/>
    </row>
    <row r="26" spans="1:11" ht="22.5" thickTop="1" thickBot="1" x14ac:dyDescent="0.4">
      <c r="A26" s="66">
        <f>SUM(A16:A25)</f>
        <v>23894.559999999998</v>
      </c>
      <c r="B26" s="65" t="s">
        <v>89</v>
      </c>
      <c r="D26" s="46"/>
      <c r="E26" s="44" t="s">
        <v>63</v>
      </c>
      <c r="F26" s="51">
        <f>K24-I24</f>
        <v>6</v>
      </c>
      <c r="G26" s="44"/>
      <c r="H26" s="44"/>
      <c r="I26" s="44"/>
      <c r="J26" s="44"/>
      <c r="K26" s="43"/>
    </row>
    <row r="27" spans="1:11" ht="15" customHeight="1" x14ac:dyDescent="0.35">
      <c r="A27" s="78"/>
      <c r="B27" s="79"/>
      <c r="D27" s="46"/>
      <c r="E27" s="44" t="s">
        <v>62</v>
      </c>
      <c r="F27" s="50">
        <v>2</v>
      </c>
      <c r="G27" s="44"/>
      <c r="H27" s="44"/>
      <c r="I27" s="44"/>
      <c r="J27" s="44"/>
      <c r="K27" s="43"/>
    </row>
    <row r="28" spans="1:11" ht="15" customHeight="1" x14ac:dyDescent="0.25">
      <c r="D28" s="46" t="s">
        <v>82</v>
      </c>
      <c r="E28" s="44" t="s">
        <v>10</v>
      </c>
      <c r="F28" s="61">
        <f>1800*80/1000*1.3</f>
        <v>187.20000000000002</v>
      </c>
      <c r="G28" s="44" t="s">
        <v>81</v>
      </c>
      <c r="H28" s="44"/>
      <c r="I28" s="44"/>
      <c r="J28" s="44"/>
      <c r="K28" s="43"/>
    </row>
    <row r="29" spans="1:11" ht="15" customHeight="1" x14ac:dyDescent="0.25">
      <c r="D29" s="46"/>
      <c r="E29" s="44" t="s">
        <v>79</v>
      </c>
      <c r="F29" s="61">
        <v>120</v>
      </c>
      <c r="G29" s="44"/>
      <c r="H29" s="44"/>
      <c r="I29" s="44"/>
      <c r="J29" s="44"/>
      <c r="K29" s="43"/>
    </row>
    <row r="30" spans="1:11" ht="15.75" thickBot="1" x14ac:dyDescent="0.3">
      <c r="D30" s="46"/>
      <c r="E30" s="44" t="str">
        <f t="shared" ref="E30:G31" si="2">E13</f>
        <v>Food</v>
      </c>
      <c r="F30" s="60">
        <f t="shared" si="2"/>
        <v>40</v>
      </c>
      <c r="G30" s="61" t="str">
        <f t="shared" si="2"/>
        <v>Per Day/Per person</v>
      </c>
      <c r="H30" s="44"/>
      <c r="I30" s="44"/>
      <c r="J30" s="44"/>
      <c r="K30" s="43"/>
    </row>
    <row r="31" spans="1:11" ht="21" x14ac:dyDescent="0.35">
      <c r="A31" s="115" t="s">
        <v>83</v>
      </c>
      <c r="B31" s="116"/>
      <c r="D31" s="46"/>
      <c r="E31" s="44" t="str">
        <f t="shared" si="2"/>
        <v>Grocery</v>
      </c>
      <c r="F31" s="60">
        <f t="shared" si="2"/>
        <v>150</v>
      </c>
      <c r="G31" s="61" t="str">
        <f t="shared" si="2"/>
        <v>Per Trip</v>
      </c>
      <c r="H31" s="44"/>
      <c r="I31" s="44"/>
      <c r="J31" s="44"/>
      <c r="K31" s="43"/>
    </row>
    <row r="32" spans="1:11" ht="15" customHeight="1" thickBot="1" x14ac:dyDescent="0.3">
      <c r="A32" s="90">
        <f>F41+IF(G23,F26,0)+F15</f>
        <v>20</v>
      </c>
      <c r="B32" s="43" t="s">
        <v>80</v>
      </c>
      <c r="D32" s="46"/>
      <c r="E32" s="44"/>
      <c r="F32" s="61"/>
      <c r="G32" s="44"/>
      <c r="H32" s="44"/>
      <c r="I32" s="44"/>
      <c r="J32" s="44"/>
      <c r="K32" s="43"/>
    </row>
    <row r="33" spans="1:11" ht="15.75" thickTop="1" x14ac:dyDescent="0.25">
      <c r="A33" s="99">
        <v>2</v>
      </c>
      <c r="B33" s="43" t="s">
        <v>129</v>
      </c>
      <c r="D33" s="46" t="s">
        <v>76</v>
      </c>
      <c r="E33" s="44" t="s">
        <v>75</v>
      </c>
      <c r="F33" s="60">
        <v>450</v>
      </c>
      <c r="G33" s="44" t="s">
        <v>74</v>
      </c>
      <c r="H33" s="48" t="s">
        <v>73</v>
      </c>
      <c r="I33" s="49">
        <f>I24</f>
        <v>43200</v>
      </c>
      <c r="J33" s="48" t="s">
        <v>59</v>
      </c>
      <c r="K33" s="47">
        <f>K24</f>
        <v>43206</v>
      </c>
    </row>
    <row r="34" spans="1:11" x14ac:dyDescent="0.25">
      <c r="A34" s="99">
        <f>A32-A33</f>
        <v>18</v>
      </c>
      <c r="B34" s="43" t="s">
        <v>130</v>
      </c>
      <c r="D34" s="46"/>
      <c r="E34" s="44" t="str">
        <f>E30</f>
        <v>Food</v>
      </c>
      <c r="F34" s="60">
        <v>70</v>
      </c>
      <c r="G34" s="44" t="str">
        <f>G30</f>
        <v>Per Day/Per person</v>
      </c>
      <c r="H34" s="44"/>
      <c r="I34" s="44"/>
      <c r="J34" s="44"/>
      <c r="K34" s="43"/>
    </row>
    <row r="35" spans="1:11" ht="15" customHeight="1" x14ac:dyDescent="0.25">
      <c r="A35" s="62">
        <v>20000</v>
      </c>
      <c r="B35" s="43" t="s">
        <v>78</v>
      </c>
      <c r="D35" s="46"/>
      <c r="E35" s="44" t="str">
        <f>E31</f>
        <v>Grocery</v>
      </c>
      <c r="F35" s="60">
        <v>20</v>
      </c>
      <c r="G35" s="44" t="str">
        <f>G31</f>
        <v>Per Trip</v>
      </c>
      <c r="H35" s="44"/>
      <c r="I35" s="44"/>
      <c r="J35" s="44"/>
      <c r="K35" s="43"/>
    </row>
    <row r="36" spans="1:11" ht="21.75" thickBot="1" x14ac:dyDescent="0.4">
      <c r="A36" s="89">
        <f>A35*A33</f>
        <v>40000</v>
      </c>
      <c r="B36" s="65" t="s">
        <v>77</v>
      </c>
      <c r="D36" s="39"/>
      <c r="E36" s="37" t="s">
        <v>72</v>
      </c>
      <c r="F36" s="59">
        <v>80</v>
      </c>
      <c r="G36" s="37" t="s">
        <v>71</v>
      </c>
      <c r="H36" s="37"/>
      <c r="I36" s="37"/>
      <c r="J36" s="37"/>
      <c r="K36" s="36"/>
    </row>
    <row r="37" spans="1:11" ht="21" x14ac:dyDescent="0.35">
      <c r="A37" s="88">
        <v>175</v>
      </c>
      <c r="B37" s="43" t="s">
        <v>116</v>
      </c>
      <c r="D37" s="115" t="s">
        <v>70</v>
      </c>
      <c r="E37" s="133"/>
      <c r="F37" s="133"/>
      <c r="G37" s="133"/>
      <c r="I37" s="58"/>
      <c r="K37" s="57"/>
    </row>
    <row r="38" spans="1:11" ht="21.75" thickBot="1" x14ac:dyDescent="0.4">
      <c r="A38" s="66">
        <f>A34*A37</f>
        <v>3150</v>
      </c>
      <c r="B38" s="65" t="s">
        <v>117</v>
      </c>
      <c r="D38" s="56"/>
      <c r="E38" s="124" t="s">
        <v>69</v>
      </c>
      <c r="F38" s="124"/>
      <c r="G38" s="124"/>
      <c r="H38" s="124"/>
      <c r="I38" s="124"/>
      <c r="J38" s="55">
        <v>43306</v>
      </c>
      <c r="K38" s="54">
        <v>43311</v>
      </c>
    </row>
    <row r="39" spans="1:11" ht="15" customHeight="1" x14ac:dyDescent="0.35">
      <c r="D39" s="53"/>
      <c r="E39" s="130" t="s">
        <v>68</v>
      </c>
      <c r="F39" s="129" t="s">
        <v>67</v>
      </c>
      <c r="G39" s="129"/>
      <c r="H39" s="125" t="s">
        <v>66</v>
      </c>
      <c r="I39" s="127">
        <f>J38-2</f>
        <v>43304</v>
      </c>
      <c r="J39" s="125" t="s">
        <v>65</v>
      </c>
      <c r="K39" s="121">
        <f>K38+1</f>
        <v>43312</v>
      </c>
    </row>
    <row r="40" spans="1:11" ht="21.75" thickBot="1" x14ac:dyDescent="0.4">
      <c r="D40" s="52"/>
      <c r="E40" s="131"/>
      <c r="F40" s="123" t="s">
        <v>64</v>
      </c>
      <c r="G40" s="123"/>
      <c r="H40" s="126"/>
      <c r="I40" s="128"/>
      <c r="J40" s="126"/>
      <c r="K40" s="122"/>
    </row>
    <row r="41" spans="1:11" ht="15" customHeight="1" thickTop="1" thickBot="1" x14ac:dyDescent="0.3">
      <c r="D41" s="46"/>
      <c r="E41" s="44" t="s">
        <v>63</v>
      </c>
      <c r="F41" s="51">
        <f>K39-I39</f>
        <v>8</v>
      </c>
      <c r="G41" s="44"/>
      <c r="H41" s="44"/>
      <c r="I41" s="44"/>
      <c r="J41" s="44"/>
      <c r="K41" s="43"/>
    </row>
    <row r="42" spans="1:11" ht="15" customHeight="1" thickTop="1" x14ac:dyDescent="0.35">
      <c r="A42" s="115" t="s">
        <v>118</v>
      </c>
      <c r="B42" s="116"/>
      <c r="D42" s="46"/>
      <c r="E42" s="44" t="s">
        <v>62</v>
      </c>
      <c r="F42" s="50">
        <v>2</v>
      </c>
      <c r="G42" s="44"/>
      <c r="H42" s="44"/>
      <c r="I42" s="44"/>
      <c r="J42" s="44"/>
      <c r="K42" s="43"/>
    </row>
    <row r="43" spans="1:11" ht="15.75" thickBot="1" x14ac:dyDescent="0.3">
      <c r="A43" s="91">
        <f>'Swim Budget'!A12</f>
        <v>23894.559999999998</v>
      </c>
      <c r="B43" s="92" t="s">
        <v>113</v>
      </c>
      <c r="D43" s="46"/>
      <c r="E43" s="44" t="s">
        <v>61</v>
      </c>
      <c r="F43" s="45">
        <v>750</v>
      </c>
      <c r="G43" s="44" t="str">
        <f>G33</f>
        <v>Per Person</v>
      </c>
      <c r="H43" s="48" t="s">
        <v>60</v>
      </c>
      <c r="I43" s="49">
        <f>I39</f>
        <v>43304</v>
      </c>
      <c r="J43" s="48" t="s">
        <v>59</v>
      </c>
      <c r="K43" s="47">
        <f>K39</f>
        <v>43312</v>
      </c>
    </row>
    <row r="44" spans="1:11" ht="15.75" thickTop="1" x14ac:dyDescent="0.25">
      <c r="A44" s="93">
        <v>3950</v>
      </c>
      <c r="B44" s="92" t="s">
        <v>114</v>
      </c>
      <c r="D44" s="46"/>
      <c r="E44" s="44" t="str">
        <f>E34</f>
        <v>Food</v>
      </c>
      <c r="F44" s="45">
        <f>F34</f>
        <v>70</v>
      </c>
      <c r="G44" s="44" t="str">
        <f>G34</f>
        <v>Per Day/Per person</v>
      </c>
      <c r="H44" s="44"/>
      <c r="I44" s="44"/>
      <c r="J44" s="44"/>
      <c r="K44" s="43"/>
    </row>
    <row r="45" spans="1:11" ht="15" customHeight="1" thickBot="1" x14ac:dyDescent="0.3">
      <c r="A45" s="97">
        <v>21</v>
      </c>
      <c r="B45" s="96" t="s">
        <v>115</v>
      </c>
      <c r="C45" s="87">
        <f>(annual_budget-already_paid)/installments_remain</f>
        <v>949.74095238095231</v>
      </c>
      <c r="D45" s="46"/>
      <c r="E45" s="44" t="str">
        <f>E35</f>
        <v>Grocery</v>
      </c>
      <c r="F45" s="45">
        <f>F35</f>
        <v>20</v>
      </c>
      <c r="G45" s="44" t="s">
        <v>58</v>
      </c>
      <c r="H45" s="44"/>
      <c r="I45" s="44"/>
      <c r="J45" s="44"/>
      <c r="K45" s="43"/>
    </row>
    <row r="46" spans="1:11" ht="15" customHeight="1" thickBot="1" x14ac:dyDescent="0.35">
      <c r="A46" s="117" t="s">
        <v>119</v>
      </c>
      <c r="B46" s="118"/>
      <c r="C46" s="87">
        <f>((annual_budget-US_training_camp)*2-already_paid)/(installments_remain+24)</f>
        <v>889.75822222222212</v>
      </c>
      <c r="D46" s="39"/>
      <c r="E46" s="37" t="str">
        <f>E36</f>
        <v>Cabs</v>
      </c>
      <c r="F46" s="42">
        <v>20</v>
      </c>
      <c r="G46" s="37" t="s">
        <v>58</v>
      </c>
      <c r="H46" s="37"/>
      <c r="I46" s="37"/>
      <c r="J46" s="37"/>
      <c r="K46" s="36"/>
    </row>
    <row r="47" spans="1:11" ht="21" x14ac:dyDescent="0.35">
      <c r="A47" s="94">
        <f>ROUNDUP(C45,-1)</f>
        <v>950</v>
      </c>
      <c r="B47" s="92" t="str">
        <f>"Rest of this year "&amp;TEXT(C45,"($###.00)")</f>
        <v>Rest of this year ($949.74)</v>
      </c>
      <c r="C47" s="87">
        <f>(annual_budget-2*US_training_camp)/24</f>
        <v>837.2733333333332</v>
      </c>
      <c r="D47" s="115" t="s">
        <v>57</v>
      </c>
      <c r="E47" s="133"/>
      <c r="F47" s="133"/>
      <c r="G47" s="133"/>
      <c r="H47" s="41"/>
      <c r="I47" s="41"/>
      <c r="J47" s="41"/>
      <c r="K47" s="40"/>
    </row>
    <row r="48" spans="1:11" ht="15.75" thickBot="1" x14ac:dyDescent="0.3">
      <c r="A48" s="94">
        <f t="shared" ref="A48:A49" si="3">ROUNDUP(C46,-1)</f>
        <v>890</v>
      </c>
      <c r="B48" s="92" t="str">
        <f>"Ammortize next year "&amp;TEXT(C46,"($###.00)")</f>
        <v>Ammortize next year ($889.76)</v>
      </c>
      <c r="D48" s="39"/>
      <c r="E48" s="37" t="s">
        <v>56</v>
      </c>
      <c r="F48" s="38">
        <v>1900</v>
      </c>
      <c r="G48" s="37"/>
      <c r="H48" s="37"/>
      <c r="I48" s="37"/>
      <c r="J48" s="37"/>
      <c r="K48" s="36"/>
    </row>
    <row r="49" spans="1:3" ht="15.75" thickBot="1" x14ac:dyDescent="0.3">
      <c r="A49" s="95">
        <f t="shared" si="3"/>
        <v>840</v>
      </c>
      <c r="B49" s="96" t="str">
        <f>"Next Year Alone "&amp;TEXT(C47,"($###.00)")</f>
        <v>Next Year Alone ($837.27)</v>
      </c>
      <c r="C49" s="87">
        <f>(annual_budget+hotel_cost-already_paid)/installments_remain</f>
        <v>1099.7409523809522</v>
      </c>
    </row>
    <row r="50" spans="1:3" ht="18.75" x14ac:dyDescent="0.3">
      <c r="A50" s="119" t="s">
        <v>120</v>
      </c>
      <c r="B50" s="120"/>
      <c r="C50" s="87">
        <f>((annual_budget+hotel_cost-US_training_camp)*2-already_paid)/(installments_remain+24)</f>
        <v>1029.7582222222222</v>
      </c>
    </row>
    <row r="51" spans="1:3" x14ac:dyDescent="0.25">
      <c r="A51" s="94">
        <f>ROUNDUP(C49,-1)</f>
        <v>1100</v>
      </c>
      <c r="B51" s="92" t="str">
        <f>"Rest of this year "&amp;TEXT(C49,"($###.00)")</f>
        <v>Rest of this year ($1099.74)</v>
      </c>
      <c r="C51" s="87">
        <f>(annual_budget+hotel_cost-2*US_training_camp)/24</f>
        <v>968.5233333333332</v>
      </c>
    </row>
    <row r="52" spans="1:3" x14ac:dyDescent="0.25">
      <c r="A52" s="94">
        <f t="shared" ref="A52:A53" si="4">ROUNDUP(C50,-1)</f>
        <v>1030</v>
      </c>
      <c r="B52" s="92" t="str">
        <f>"Ammortize next year "&amp;TEXT(C50,"($###.00)")</f>
        <v>Ammortize next year ($1029.76)</v>
      </c>
    </row>
    <row r="53" spans="1:3" ht="15.75" thickBot="1" x14ac:dyDescent="0.3">
      <c r="A53" s="95">
        <f t="shared" si="4"/>
        <v>970</v>
      </c>
      <c r="B53" s="96" t="str">
        <f>"Next Year Alone "&amp;TEXT(C51,"($###.00)")</f>
        <v>Next Year Alone ($968.52)</v>
      </c>
    </row>
  </sheetData>
  <sheetProtection selectLockedCells="1"/>
  <mergeCells count="48">
    <mergeCell ref="D47:G47"/>
    <mergeCell ref="D22:G22"/>
    <mergeCell ref="D37:G37"/>
    <mergeCell ref="A15:B15"/>
    <mergeCell ref="F25:G25"/>
    <mergeCell ref="J6:J7"/>
    <mergeCell ref="J3:J4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H24:H25"/>
    <mergeCell ref="I24:I25"/>
    <mergeCell ref="A31:B31"/>
    <mergeCell ref="F10:G10"/>
    <mergeCell ref="E8:I8"/>
    <mergeCell ref="E5:I5"/>
    <mergeCell ref="E6:E7"/>
    <mergeCell ref="F6:G6"/>
    <mergeCell ref="H3:H4"/>
    <mergeCell ref="I3:I4"/>
    <mergeCell ref="I6:I7"/>
    <mergeCell ref="A42:B42"/>
    <mergeCell ref="A46:B46"/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4" sqref="C4"/>
    </sheetView>
  </sheetViews>
  <sheetFormatPr defaultRowHeight="15" x14ac:dyDescent="0.25"/>
  <sheetData>
    <row r="1" spans="1:3" x14ac:dyDescent="0.25">
      <c r="A1" t="s">
        <v>141</v>
      </c>
      <c r="C1" t="s">
        <v>126</v>
      </c>
    </row>
    <row r="2" spans="1:3" x14ac:dyDescent="0.25">
      <c r="A2" t="s">
        <v>135</v>
      </c>
      <c r="C2" t="s">
        <v>142</v>
      </c>
    </row>
    <row r="3" spans="1:3" x14ac:dyDescent="0.25">
      <c r="A3" t="s">
        <v>136</v>
      </c>
      <c r="C3" t="s">
        <v>146</v>
      </c>
    </row>
    <row r="4" spans="1:3" x14ac:dyDescent="0.25">
      <c r="A4" t="s">
        <v>137</v>
      </c>
      <c r="C4" t="s">
        <v>143</v>
      </c>
    </row>
    <row r="5" spans="1:3" x14ac:dyDescent="0.25">
      <c r="A5" t="s">
        <v>106</v>
      </c>
      <c r="C5" t="s">
        <v>144</v>
      </c>
    </row>
    <row r="6" spans="1:3" x14ac:dyDescent="0.25">
      <c r="A6" t="s">
        <v>107</v>
      </c>
      <c r="C6" t="s">
        <v>145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family</vt:lpstr>
      <vt:lpstr>hotel_cost</vt:lpstr>
      <vt:lpstr>installments_remain</vt:lpstr>
      <vt:lpstr>pets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2017-10-01T21:41:55Z</dcterms:modified>
</cp:coreProperties>
</file>