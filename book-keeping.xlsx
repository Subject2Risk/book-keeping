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755" windowHeight="5895" activeTab="4"/>
  </bookViews>
  <sheets>
    <sheet name="BMW" sheetId="1" r:id="rId1"/>
    <sheet name="Swimming" sheetId="2" r:id="rId2"/>
    <sheet name="Clothing" sheetId="8" r:id="rId3"/>
    <sheet name="Pets" sheetId="7" r:id="rId4"/>
    <sheet name="Christmas" sheetId="5" r:id="rId5"/>
    <sheet name="Semi-Monthly Transfers" sheetId="3" r:id="rId6"/>
    <sheet name="Swim Budget" sheetId="4" r:id="rId7"/>
    <sheet name="Reference" sheetId="6" r:id="rId8"/>
  </sheets>
  <definedNames>
    <definedName name="_xlnm._FilterDatabase" localSheetId="0" hidden="1">BMW!$A$1:$L$101</definedName>
    <definedName name="already_paid">'Swim Budget'!$A$44</definedName>
    <definedName name="annual_budget">'Swim Budget'!$A$43</definedName>
    <definedName name="bmw_visa_balance">BMW!$G$121</definedName>
    <definedName name="christmas_visa_balance">Christmas!$G$25</definedName>
    <definedName name="clothing_visa_balance">Clothing!$J$41</definedName>
    <definedName name="family">Reference!$A$2:$A$7</definedName>
    <definedName name="hotel_cost">'Swim Budget'!$A$38</definedName>
    <definedName name="installments_remain">'Swim Budget'!$A$45</definedName>
    <definedName name="pets">Reference!$C$2:$C$6</definedName>
    <definedName name="pets_visa_balance">Pets!$G$26</definedName>
    <definedName name="swimming_visa_balance">Swimming!$G$44</definedName>
    <definedName name="US_training_camp">'Swim Budget'!$F$48</definedName>
  </definedNames>
  <calcPr calcId="145621"/>
</workbook>
</file>

<file path=xl/calcChain.xml><?xml version="1.0" encoding="utf-8"?>
<calcChain xmlns="http://schemas.openxmlformats.org/spreadsheetml/2006/main">
  <c r="C15" i="3" l="1"/>
  <c r="D17" i="2"/>
  <c r="G17" i="2"/>
  <c r="J17" i="2"/>
  <c r="D20" i="7"/>
  <c r="D19" i="7"/>
  <c r="D18" i="7"/>
  <c r="D17" i="7"/>
  <c r="D16" i="7"/>
  <c r="D14" i="7"/>
  <c r="D13" i="7"/>
  <c r="D12" i="7"/>
  <c r="D11" i="7"/>
  <c r="D10" i="7"/>
  <c r="D9" i="7"/>
  <c r="D8" i="7"/>
  <c r="D7" i="7"/>
  <c r="D6" i="7"/>
  <c r="D5" i="7"/>
  <c r="G22" i="7"/>
  <c r="G21" i="7"/>
  <c r="G20" i="7"/>
  <c r="G19" i="7"/>
  <c r="G18" i="7"/>
  <c r="G17" i="7"/>
  <c r="G16" i="7"/>
  <c r="G14" i="7"/>
  <c r="G13" i="7"/>
  <c r="G12" i="7"/>
  <c r="G11" i="7"/>
  <c r="G10" i="7"/>
  <c r="G9" i="7"/>
  <c r="G8" i="7"/>
  <c r="G7" i="7"/>
  <c r="G6" i="7"/>
  <c r="G5" i="7"/>
  <c r="A15" i="7"/>
  <c r="D15" i="7" s="1"/>
  <c r="A110" i="1"/>
  <c r="G15" i="7" l="1"/>
  <c r="A45" i="4"/>
  <c r="A44" i="4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7" i="1"/>
  <c r="K8" i="1"/>
  <c r="K5" i="1"/>
  <c r="K4" i="1"/>
  <c r="K3" i="1"/>
  <c r="K6" i="1"/>
  <c r="L3" i="5"/>
  <c r="G26" i="7"/>
  <c r="D26" i="7"/>
  <c r="G25" i="5"/>
  <c r="D25" i="5"/>
  <c r="G121" i="1"/>
  <c r="D121" i="1"/>
  <c r="J44" i="2"/>
  <c r="G44" i="2"/>
  <c r="D44" i="2"/>
  <c r="J41" i="8"/>
  <c r="G41" i="8"/>
  <c r="D41" i="8"/>
  <c r="B15" i="3" l="1"/>
  <c r="D15" i="3" s="1"/>
  <c r="L24" i="5"/>
  <c r="L23" i="5"/>
  <c r="L22" i="5"/>
  <c r="L21" i="5"/>
  <c r="L20" i="5"/>
  <c r="L19" i="5"/>
  <c r="L18" i="5"/>
  <c r="L17" i="5"/>
  <c r="L16" i="5"/>
  <c r="L8" i="5"/>
  <c r="L13" i="5"/>
  <c r="L15" i="5"/>
  <c r="L14" i="5"/>
  <c r="L12" i="5"/>
  <c r="L11" i="5"/>
  <c r="L10" i="5"/>
  <c r="L9" i="5"/>
  <c r="L7" i="5"/>
  <c r="L6" i="5"/>
  <c r="L5" i="5"/>
  <c r="L4" i="5"/>
  <c r="G103" i="1"/>
  <c r="G104" i="1"/>
  <c r="D103" i="1"/>
  <c r="D104" i="1"/>
  <c r="A102" i="1" l="1"/>
  <c r="K102" i="1" s="1"/>
  <c r="D106" i="1"/>
  <c r="G106" i="1"/>
  <c r="D107" i="1"/>
  <c r="G107" i="1"/>
  <c r="D108" i="1"/>
  <c r="G108" i="1"/>
  <c r="D109" i="1"/>
  <c r="G109" i="1"/>
  <c r="D110" i="1"/>
  <c r="G110" i="1"/>
  <c r="D111" i="1"/>
  <c r="G111" i="1"/>
  <c r="D112" i="1"/>
  <c r="G112" i="1"/>
  <c r="D113" i="1"/>
  <c r="G113" i="1"/>
  <c r="D114" i="1"/>
  <c r="G114" i="1"/>
  <c r="D115" i="1"/>
  <c r="G115" i="1"/>
  <c r="D116" i="1"/>
  <c r="G116" i="1"/>
  <c r="D117" i="1"/>
  <c r="G117" i="1"/>
  <c r="D118" i="1"/>
  <c r="G118" i="1"/>
  <c r="D119" i="1"/>
  <c r="G119" i="1"/>
  <c r="G100" i="1"/>
  <c r="G105" i="1"/>
  <c r="D100" i="1"/>
  <c r="D105" i="1"/>
  <c r="A21" i="2"/>
  <c r="G102" i="1" l="1"/>
  <c r="D102" i="1"/>
  <c r="A15" i="2"/>
  <c r="G15" i="2" s="1"/>
  <c r="J15" i="2"/>
  <c r="J25" i="2"/>
  <c r="J24" i="2"/>
  <c r="D22" i="2"/>
  <c r="G22" i="2"/>
  <c r="J22" i="2"/>
  <c r="D23" i="2"/>
  <c r="G23" i="2"/>
  <c r="J23" i="2"/>
  <c r="G24" i="2"/>
  <c r="D25" i="2"/>
  <c r="G25" i="2"/>
  <c r="D26" i="2"/>
  <c r="G26" i="2"/>
  <c r="J26" i="2"/>
  <c r="D27" i="2"/>
  <c r="G27" i="2"/>
  <c r="J27" i="2"/>
  <c r="D28" i="2"/>
  <c r="G28" i="2"/>
  <c r="J28" i="2"/>
  <c r="D29" i="2"/>
  <c r="G29" i="2"/>
  <c r="J29" i="2"/>
  <c r="D30" i="2"/>
  <c r="G30" i="2"/>
  <c r="J30" i="2"/>
  <c r="D31" i="2"/>
  <c r="G31" i="2"/>
  <c r="J31" i="2"/>
  <c r="D32" i="2"/>
  <c r="G32" i="2"/>
  <c r="J32" i="2"/>
  <c r="D33" i="2"/>
  <c r="G33" i="2"/>
  <c r="J33" i="2"/>
  <c r="D34" i="2"/>
  <c r="G34" i="2"/>
  <c r="J34" i="2"/>
  <c r="D35" i="2"/>
  <c r="G35" i="2"/>
  <c r="J35" i="2"/>
  <c r="D36" i="2"/>
  <c r="G36" i="2"/>
  <c r="J36" i="2"/>
  <c r="D37" i="2"/>
  <c r="G37" i="2"/>
  <c r="J37" i="2"/>
  <c r="D38" i="2"/>
  <c r="G38" i="2"/>
  <c r="J38" i="2"/>
  <c r="D39" i="2"/>
  <c r="G39" i="2"/>
  <c r="J39" i="2"/>
  <c r="D40" i="2"/>
  <c r="G40" i="2"/>
  <c r="J40" i="2"/>
  <c r="D41" i="2"/>
  <c r="G41" i="2"/>
  <c r="J41" i="2"/>
  <c r="D42" i="2"/>
  <c r="G42" i="2"/>
  <c r="J42" i="2"/>
  <c r="D43" i="2"/>
  <c r="G43" i="2"/>
  <c r="J43" i="2"/>
  <c r="J21" i="2"/>
  <c r="G21" i="2"/>
  <c r="D21" i="2"/>
  <c r="S1" i="1" l="1"/>
  <c r="A16" i="2"/>
  <c r="D15" i="2"/>
  <c r="D24" i="2"/>
  <c r="J40" i="8"/>
  <c r="G40" i="8"/>
  <c r="D40" i="8"/>
  <c r="J39" i="8"/>
  <c r="G39" i="8"/>
  <c r="D39" i="8"/>
  <c r="J38" i="8"/>
  <c r="G38" i="8"/>
  <c r="D38" i="8"/>
  <c r="J37" i="8"/>
  <c r="G37" i="8"/>
  <c r="D37" i="8"/>
  <c r="J36" i="8"/>
  <c r="G36" i="8"/>
  <c r="D36" i="8"/>
  <c r="J35" i="8"/>
  <c r="G35" i="8"/>
  <c r="D35" i="8"/>
  <c r="J34" i="8"/>
  <c r="G34" i="8"/>
  <c r="D34" i="8"/>
  <c r="J33" i="8"/>
  <c r="G33" i="8"/>
  <c r="D33" i="8"/>
  <c r="J32" i="8"/>
  <c r="G32" i="8"/>
  <c r="D32" i="8"/>
  <c r="J31" i="8"/>
  <c r="G31" i="8"/>
  <c r="D31" i="8"/>
  <c r="J30" i="8"/>
  <c r="G30" i="8"/>
  <c r="D30" i="8"/>
  <c r="J29" i="8"/>
  <c r="G29" i="8"/>
  <c r="D29" i="8"/>
  <c r="J28" i="8"/>
  <c r="G28" i="8"/>
  <c r="D28" i="8"/>
  <c r="J27" i="8"/>
  <c r="G27" i="8"/>
  <c r="D27" i="8"/>
  <c r="J26" i="8"/>
  <c r="G26" i="8"/>
  <c r="D26" i="8"/>
  <c r="J25" i="8"/>
  <c r="G25" i="8"/>
  <c r="D25" i="8"/>
  <c r="J24" i="8"/>
  <c r="G24" i="8"/>
  <c r="D24" i="8"/>
  <c r="J23" i="8"/>
  <c r="G23" i="8"/>
  <c r="D23" i="8"/>
  <c r="J22" i="8"/>
  <c r="G22" i="8"/>
  <c r="D22" i="8"/>
  <c r="J21" i="8"/>
  <c r="G21" i="8"/>
  <c r="D21" i="8"/>
  <c r="J20" i="8"/>
  <c r="G20" i="8"/>
  <c r="D20" i="8"/>
  <c r="J19" i="8"/>
  <c r="G19" i="8"/>
  <c r="D19" i="8"/>
  <c r="J18" i="8"/>
  <c r="G18" i="8"/>
  <c r="D18" i="8"/>
  <c r="J17" i="8"/>
  <c r="G17" i="8"/>
  <c r="D17" i="8"/>
  <c r="J16" i="8"/>
  <c r="G16" i="8"/>
  <c r="D16" i="8"/>
  <c r="J15" i="8"/>
  <c r="G15" i="8"/>
  <c r="D15" i="8"/>
  <c r="J14" i="8"/>
  <c r="G14" i="8"/>
  <c r="D14" i="8"/>
  <c r="J13" i="8"/>
  <c r="G13" i="8"/>
  <c r="D13" i="8"/>
  <c r="J12" i="8"/>
  <c r="G12" i="8"/>
  <c r="D12" i="8"/>
  <c r="J11" i="8"/>
  <c r="G11" i="8"/>
  <c r="D11" i="8"/>
  <c r="J10" i="8"/>
  <c r="G10" i="8"/>
  <c r="D10" i="8"/>
  <c r="J9" i="8"/>
  <c r="G9" i="8"/>
  <c r="D9" i="8"/>
  <c r="J8" i="8"/>
  <c r="G8" i="8"/>
  <c r="D8" i="8"/>
  <c r="J7" i="8"/>
  <c r="G7" i="8"/>
  <c r="D7" i="8"/>
  <c r="G6" i="8"/>
  <c r="G5" i="8"/>
  <c r="G4" i="8"/>
  <c r="G3" i="8"/>
  <c r="J6" i="8"/>
  <c r="D6" i="8"/>
  <c r="J5" i="8"/>
  <c r="D5" i="8"/>
  <c r="J4" i="8"/>
  <c r="D4" i="8"/>
  <c r="J3" i="8"/>
  <c r="D3" i="8"/>
  <c r="K25" i="7"/>
  <c r="G25" i="7"/>
  <c r="D25" i="7"/>
  <c r="K24" i="7"/>
  <c r="G24" i="7"/>
  <c r="D24" i="7"/>
  <c r="K23" i="7"/>
  <c r="G23" i="7"/>
  <c r="D23" i="7"/>
  <c r="K22" i="7"/>
  <c r="D22" i="7"/>
  <c r="K21" i="7"/>
  <c r="D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4" i="7"/>
  <c r="G4" i="7"/>
  <c r="D4" i="7"/>
  <c r="K3" i="7"/>
  <c r="G3" i="7"/>
  <c r="D3" i="7"/>
  <c r="A11" i="3"/>
  <c r="D8" i="5"/>
  <c r="G8" i="5"/>
  <c r="D16" i="5"/>
  <c r="G16" i="5"/>
  <c r="D17" i="5"/>
  <c r="G17" i="5"/>
  <c r="D18" i="5"/>
  <c r="G18" i="5"/>
  <c r="D19" i="5"/>
  <c r="G19" i="5"/>
  <c r="D20" i="5"/>
  <c r="G20" i="5"/>
  <c r="D21" i="5"/>
  <c r="G21" i="5"/>
  <c r="D22" i="5"/>
  <c r="G22" i="5"/>
  <c r="D23" i="5"/>
  <c r="G23" i="5"/>
  <c r="D24" i="5"/>
  <c r="G24" i="5"/>
  <c r="G13" i="5"/>
  <c r="D13" i="5"/>
  <c r="G15" i="5"/>
  <c r="D15" i="5"/>
  <c r="G14" i="5"/>
  <c r="D14" i="5"/>
  <c r="G12" i="5"/>
  <c r="D12" i="5"/>
  <c r="G11" i="5"/>
  <c r="D11" i="5"/>
  <c r="G10" i="5"/>
  <c r="D10" i="5"/>
  <c r="G9" i="5"/>
  <c r="D9" i="5"/>
  <c r="G7" i="5"/>
  <c r="D7" i="5"/>
  <c r="D6" i="5"/>
  <c r="G6" i="5"/>
  <c r="G5" i="5"/>
  <c r="G4" i="5"/>
  <c r="G3" i="5"/>
  <c r="D3" i="5"/>
  <c r="G16" i="2" l="1"/>
  <c r="J16" i="2"/>
  <c r="D16" i="2"/>
  <c r="D5" i="5"/>
  <c r="D4" i="5"/>
  <c r="A38" i="4"/>
  <c r="A34" i="4"/>
  <c r="A36" i="4"/>
  <c r="I6" i="4" l="1"/>
  <c r="B17" i="4"/>
  <c r="B18" i="4"/>
  <c r="A17" i="4"/>
  <c r="A18" i="4"/>
  <c r="A25" i="4" l="1"/>
  <c r="A11" i="4"/>
  <c r="D23" i="4"/>
  <c r="I3" i="4"/>
  <c r="K3" i="4"/>
  <c r="A8" i="4"/>
  <c r="A22" i="4" s="1"/>
  <c r="K6" i="4"/>
  <c r="I9" i="4"/>
  <c r="K9" i="4"/>
  <c r="F12" i="4"/>
  <c r="F20" i="4" s="1"/>
  <c r="A16" i="4"/>
  <c r="B16" i="4"/>
  <c r="A19" i="4"/>
  <c r="B19" i="4"/>
  <c r="A20" i="4"/>
  <c r="B20" i="4"/>
  <c r="A21" i="4"/>
  <c r="B21" i="4"/>
  <c r="B22" i="4"/>
  <c r="B23" i="4"/>
  <c r="I24" i="4"/>
  <c r="K24" i="4"/>
  <c r="K33" i="4" s="1"/>
  <c r="F28" i="4"/>
  <c r="E30" i="4"/>
  <c r="E34" i="4" s="1"/>
  <c r="E44" i="4" s="1"/>
  <c r="F30" i="4"/>
  <c r="G30" i="4"/>
  <c r="G34" i="4" s="1"/>
  <c r="G44" i="4" s="1"/>
  <c r="E31" i="4"/>
  <c r="E35" i="4" s="1"/>
  <c r="E45" i="4" s="1"/>
  <c r="F31" i="4"/>
  <c r="G31" i="4"/>
  <c r="G35" i="4" s="1"/>
  <c r="I39" i="4"/>
  <c r="I43" i="4" s="1"/>
  <c r="K39" i="4"/>
  <c r="K43" i="4" s="1"/>
  <c r="G43" i="4"/>
  <c r="F44" i="4"/>
  <c r="F45" i="4"/>
  <c r="E46" i="4"/>
  <c r="G85" i="1"/>
  <c r="D85" i="1"/>
  <c r="F41" i="4" l="1"/>
  <c r="G18" i="4"/>
  <c r="A10" i="4"/>
  <c r="A24" i="4" s="1"/>
  <c r="B10" i="4"/>
  <c r="B24" i="4" s="1"/>
  <c r="F15" i="4"/>
  <c r="A32" i="4" s="1"/>
  <c r="F26" i="4"/>
  <c r="B25" i="4" s="1"/>
  <c r="I33" i="4"/>
  <c r="B11" i="4" l="1"/>
  <c r="E18" i="4"/>
  <c r="F18" i="4" s="1"/>
  <c r="A9" i="4" s="1"/>
  <c r="A23" i="4" s="1"/>
  <c r="A26" i="4" s="1"/>
  <c r="D94" i="1"/>
  <c r="G88" i="1"/>
  <c r="A12" i="4" l="1"/>
  <c r="J4" i="2"/>
  <c r="G4" i="2"/>
  <c r="D4" i="2"/>
  <c r="G20" i="2"/>
  <c r="G19" i="2"/>
  <c r="G18" i="2"/>
  <c r="G14" i="2"/>
  <c r="G13" i="2"/>
  <c r="G12" i="2"/>
  <c r="G11" i="2"/>
  <c r="G10" i="2"/>
  <c r="G9" i="2"/>
  <c r="G8" i="2"/>
  <c r="G7" i="2"/>
  <c r="G6" i="2"/>
  <c r="G5" i="2"/>
  <c r="G3" i="2"/>
  <c r="D5" i="2"/>
  <c r="D6" i="2"/>
  <c r="D7" i="2"/>
  <c r="J8" i="2"/>
  <c r="D9" i="2"/>
  <c r="D10" i="2"/>
  <c r="D11" i="2"/>
  <c r="J12" i="2"/>
  <c r="J13" i="2"/>
  <c r="J14" i="2"/>
  <c r="D18" i="2"/>
  <c r="J19" i="2"/>
  <c r="J20" i="2"/>
  <c r="D3" i="2"/>
  <c r="A43" i="4" l="1"/>
  <c r="D8" i="2"/>
  <c r="D19" i="2"/>
  <c r="D14" i="2"/>
  <c r="J10" i="2"/>
  <c r="J9" i="2"/>
  <c r="D13" i="2"/>
  <c r="J5" i="2"/>
  <c r="J6" i="2"/>
  <c r="D20" i="2"/>
  <c r="D12" i="2"/>
  <c r="J18" i="2"/>
  <c r="J7" i="2"/>
  <c r="J11" i="2"/>
  <c r="J3" i="2"/>
  <c r="L82" i="1"/>
  <c r="C50" i="4" l="1"/>
  <c r="C49" i="4"/>
  <c r="C51" i="4"/>
  <c r="C47" i="4"/>
  <c r="C46" i="4"/>
  <c r="C45" i="4"/>
  <c r="D75" i="1"/>
  <c r="G75" i="1"/>
  <c r="P2" i="1"/>
  <c r="S2" i="1" s="1"/>
  <c r="B53" i="4" l="1"/>
  <c r="A53" i="4"/>
  <c r="B51" i="4"/>
  <c r="A51" i="4"/>
  <c r="A52" i="4"/>
  <c r="B52" i="4"/>
  <c r="B47" i="4"/>
  <c r="A47" i="4"/>
  <c r="B48" i="4"/>
  <c r="A48" i="4"/>
  <c r="B49" i="4"/>
  <c r="A49" i="4"/>
  <c r="G10" i="1"/>
  <c r="G11" i="1"/>
  <c r="D10" i="1"/>
  <c r="G72" i="1"/>
  <c r="G60" i="1"/>
  <c r="G59" i="1"/>
  <c r="G57" i="1"/>
  <c r="G56" i="1"/>
  <c r="G55" i="1"/>
  <c r="G54" i="1"/>
  <c r="G53" i="1"/>
  <c r="G52" i="1"/>
  <c r="D59" i="1"/>
  <c r="D57" i="1"/>
  <c r="D56" i="1"/>
  <c r="D55" i="1"/>
  <c r="D54" i="1"/>
  <c r="D61" i="1"/>
  <c r="D60" i="1" s="1"/>
  <c r="G61" i="1" l="1"/>
  <c r="G50" i="1"/>
  <c r="D50" i="1"/>
  <c r="D95" i="1" l="1"/>
  <c r="G95" i="1"/>
  <c r="D97" i="1"/>
  <c r="G97" i="1"/>
  <c r="D99" i="1"/>
  <c r="G99" i="1"/>
  <c r="D101" i="1"/>
  <c r="G101" i="1"/>
  <c r="D98" i="1"/>
  <c r="G98" i="1"/>
  <c r="G96" i="1"/>
  <c r="G94" i="1"/>
  <c r="G93" i="1"/>
  <c r="G92" i="1"/>
  <c r="G91" i="1"/>
  <c r="G90" i="1"/>
  <c r="G89" i="1"/>
  <c r="G87" i="1"/>
  <c r="G86" i="1"/>
  <c r="G84" i="1"/>
  <c r="G83" i="1"/>
  <c r="G82" i="1"/>
  <c r="G80" i="1"/>
  <c r="G79" i="1"/>
  <c r="G78" i="1"/>
  <c r="G77" i="1"/>
  <c r="G76" i="1"/>
  <c r="G81" i="1"/>
  <c r="G73" i="1"/>
  <c r="G74" i="1"/>
  <c r="G70" i="1"/>
  <c r="G68" i="1"/>
  <c r="G67" i="1"/>
  <c r="G65" i="1"/>
  <c r="G62" i="1"/>
  <c r="G66" i="1"/>
  <c r="G64" i="1"/>
  <c r="G63" i="1"/>
  <c r="G71" i="1"/>
  <c r="G69" i="1"/>
  <c r="G58" i="1"/>
  <c r="G51" i="1"/>
  <c r="D49" i="1"/>
  <c r="D51" i="1"/>
  <c r="D52" i="1"/>
  <c r="D53" i="1"/>
  <c r="D72" i="1"/>
  <c r="D58" i="1"/>
  <c r="D69" i="1"/>
  <c r="D71" i="1"/>
  <c r="D63" i="1"/>
  <c r="D64" i="1"/>
  <c r="D66" i="1"/>
  <c r="D62" i="1"/>
  <c r="D65" i="1"/>
  <c r="D67" i="1"/>
  <c r="D68" i="1"/>
  <c r="D70" i="1"/>
  <c r="D74" i="1"/>
  <c r="D73" i="1"/>
  <c r="D81" i="1"/>
  <c r="D76" i="1"/>
  <c r="D77" i="1"/>
  <c r="D78" i="1"/>
  <c r="D79" i="1"/>
  <c r="D80" i="1"/>
  <c r="D82" i="1"/>
  <c r="D83" i="1"/>
  <c r="D84" i="1"/>
  <c r="D86" i="1"/>
  <c r="D87" i="1"/>
  <c r="D88" i="1"/>
  <c r="D89" i="1"/>
  <c r="D90" i="1"/>
  <c r="D91" i="1"/>
  <c r="D92" i="1"/>
  <c r="D93" i="1"/>
  <c r="D96" i="1"/>
  <c r="G9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8" i="1"/>
  <c r="G7" i="1"/>
  <c r="G6" i="1"/>
  <c r="G5" i="1"/>
  <c r="G4" i="1"/>
  <c r="G3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<sst xmlns="http://schemas.openxmlformats.org/spreadsheetml/2006/main" count="436" uniqueCount="168">
  <si>
    <t>Date</t>
  </si>
  <si>
    <t>Account</t>
  </si>
  <si>
    <t>Visa</t>
  </si>
  <si>
    <t>Note</t>
  </si>
  <si>
    <t>Credit</t>
  </si>
  <si>
    <t>Debit</t>
  </si>
  <si>
    <t>Initial Balance</t>
  </si>
  <si>
    <t>Downpayment</t>
  </si>
  <si>
    <t>Blue Ledger</t>
  </si>
  <si>
    <t>Deposit</t>
  </si>
  <si>
    <t>Gas</t>
  </si>
  <si>
    <t>Return Old Plate, Parking Ticket</t>
  </si>
  <si>
    <t>Vacuuming</t>
  </si>
  <si>
    <t>Insurance</t>
  </si>
  <si>
    <t>Payment</t>
  </si>
  <si>
    <t>Bank Charge</t>
  </si>
  <si>
    <t>ETR (Brantford in March)</t>
  </si>
  <si>
    <t>Mileage</t>
  </si>
  <si>
    <t>Transfer</t>
  </si>
  <si>
    <t>Type</t>
  </si>
  <si>
    <t>Old Car</t>
  </si>
  <si>
    <t>Peripheral</t>
  </si>
  <si>
    <t>Licensing</t>
  </si>
  <si>
    <t>Detailing</t>
  </si>
  <si>
    <t>Reversal</t>
  </si>
  <si>
    <t>Temporary</t>
  </si>
  <si>
    <t>Miscellaneous</t>
  </si>
  <si>
    <t>Car Rental</t>
  </si>
  <si>
    <t>Parking</t>
  </si>
  <si>
    <t>Maintenance</t>
  </si>
  <si>
    <t>Oil change, etc.</t>
  </si>
  <si>
    <t>14.68 Car Wash</t>
  </si>
  <si>
    <t>Audio cable</t>
  </si>
  <si>
    <t>Krown Spray</t>
  </si>
  <si>
    <t>Tires</t>
  </si>
  <si>
    <t>15.81 Car Wash, Paid from joint chequing</t>
  </si>
  <si>
    <t>Balance</t>
  </si>
  <si>
    <t>Interest</t>
  </si>
  <si>
    <t>Bike Racks</t>
  </si>
  <si>
    <t>Car Wash</t>
  </si>
  <si>
    <t>Paid from "My Savings"</t>
  </si>
  <si>
    <t>From "Joint Chequing"</t>
  </si>
  <si>
    <t>Tolls</t>
  </si>
  <si>
    <t>ETR (Markham Festivals)</t>
  </si>
  <si>
    <t>Transfer from "My Savings"</t>
  </si>
  <si>
    <t>Oil Change</t>
  </si>
  <si>
    <t>ROCS Account</t>
  </si>
  <si>
    <t>Equipment/Expenses (Visa)</t>
  </si>
  <si>
    <t>Goggle and Mesh Bag (x2) from GoSwim</t>
  </si>
  <si>
    <t>Charge</t>
  </si>
  <si>
    <t>Flippers</t>
  </si>
  <si>
    <t>Activity</t>
  </si>
  <si>
    <t>Dinner and Movie</t>
  </si>
  <si>
    <t>Equipment</t>
  </si>
  <si>
    <t>Ankle Strap, kick board, pull bouy</t>
  </si>
  <si>
    <t>Maximum Transfer</t>
  </si>
  <si>
    <t xml:space="preserve">All in </t>
  </si>
  <si>
    <t>Training Camp</t>
  </si>
  <si>
    <t>Per Day</t>
  </si>
  <si>
    <t>YOW</t>
  </si>
  <si>
    <t>YWG</t>
  </si>
  <si>
    <t xml:space="preserve">Tickets </t>
  </si>
  <si>
    <t>People</t>
  </si>
  <si>
    <t>Days</t>
  </si>
  <si>
    <t>Quality Inn &amp; Suites, 635 Pembina Hwy (closer - 30 minute walk)</t>
  </si>
  <si>
    <t>Check Out:</t>
  </si>
  <si>
    <t>Check In:</t>
  </si>
  <si>
    <t>Holiday Inn Winnipeg South</t>
  </si>
  <si>
    <t>Hotel</t>
  </si>
  <si>
    <t>Junior Nationals</t>
  </si>
  <si>
    <t>Winnipeg</t>
  </si>
  <si>
    <t>Per Trip</t>
  </si>
  <si>
    <t>Cabs</t>
  </si>
  <si>
    <t>YQG</t>
  </si>
  <si>
    <t>Per Person</t>
  </si>
  <si>
    <t>Tickets</t>
  </si>
  <si>
    <t>Flying</t>
  </si>
  <si>
    <t>Total Points</t>
  </si>
  <si>
    <t>Points per Night</t>
  </si>
  <si>
    <t>ETR</t>
  </si>
  <si>
    <t>Total Number of Nights</t>
  </si>
  <si>
    <t>1800km @ 8l/100km @ $1.30 /l per trip</t>
  </si>
  <si>
    <t>Driving</t>
  </si>
  <si>
    <t>Hotel Nights</t>
  </si>
  <si>
    <t>Best Western Plus Waterfront Windsor (across the street)</t>
  </si>
  <si>
    <t>Holiday Inn Windsor Downtown (&lt; 10 minute walk)</t>
  </si>
  <si>
    <t xml:space="preserve">Hotel </t>
  </si>
  <si>
    <t>Eastern Championships</t>
  </si>
  <si>
    <t>Windsor</t>
  </si>
  <si>
    <t>Total</t>
  </si>
  <si>
    <t>Trips to Toronto</t>
  </si>
  <si>
    <t>Person Days in Toronto</t>
  </si>
  <si>
    <t>Spring Championships, Summer Festival, Summer Championships</t>
  </si>
  <si>
    <t>Grocery</t>
  </si>
  <si>
    <t>Per Day/Per person</t>
  </si>
  <si>
    <t>Food</t>
  </si>
  <si>
    <t>1000km @ 8l/100km @ $1.30 /l per trip</t>
  </si>
  <si>
    <t>Crowne Plaza Toronto Airport, 33 Carlson Ct, Etobicoke, ON</t>
  </si>
  <si>
    <t>Toronto Airport Marriott Hotel, Dixon Road, Etobicoke, ON</t>
  </si>
  <si>
    <t>Hotel Suggestions</t>
  </si>
  <si>
    <t>Summer Championships</t>
  </si>
  <si>
    <t>Holiday Inn Express, 10 East Pearce Street, Richmond Hill</t>
  </si>
  <si>
    <t xml:space="preserve">Toronto Meets </t>
  </si>
  <si>
    <t>Staybridge Suites Toronto-Markham, 355 South Park Rd, Thornhill</t>
  </si>
  <si>
    <t>Summer Festival</t>
  </si>
  <si>
    <t>Olivier Skiing</t>
  </si>
  <si>
    <t>Olivier</t>
  </si>
  <si>
    <t>William</t>
  </si>
  <si>
    <t>Spring Championships</t>
  </si>
  <si>
    <t>meet fees</t>
  </si>
  <si>
    <t>Toronto</t>
  </si>
  <si>
    <t>Belleville</t>
  </si>
  <si>
    <t>Point Claire</t>
  </si>
  <si>
    <t>Year</t>
  </si>
  <si>
    <t>So far</t>
  </si>
  <si>
    <t>Cost per Night</t>
  </si>
  <si>
    <t>Total Cost</t>
  </si>
  <si>
    <t>Twice Monthly Budget</t>
  </si>
  <si>
    <t>No Hotels</t>
  </si>
  <si>
    <t>With Hotels</t>
  </si>
  <si>
    <t>RRSP</t>
  </si>
  <si>
    <t>BMW</t>
  </si>
  <si>
    <t>Vacation</t>
  </si>
  <si>
    <t>Christmas</t>
  </si>
  <si>
    <t>Swimming</t>
  </si>
  <si>
    <t>Pets</t>
  </si>
  <si>
    <t>Visa Transfer</t>
  </si>
  <si>
    <t>House</t>
  </si>
  <si>
    <t>Nights on points</t>
  </si>
  <si>
    <t>Nights on Budget</t>
  </si>
  <si>
    <t>Cell Phone</t>
  </si>
  <si>
    <t>Receipt?</t>
  </si>
  <si>
    <t>Who</t>
  </si>
  <si>
    <t>What</t>
  </si>
  <si>
    <t>Chantal</t>
  </si>
  <si>
    <t>Claire</t>
  </si>
  <si>
    <t>Mum &amp; Dad</t>
  </si>
  <si>
    <t>Roller</t>
  </si>
  <si>
    <t>Clothing</t>
  </si>
  <si>
    <t>Automatic Transfer</t>
  </si>
  <si>
    <t>Family</t>
  </si>
  <si>
    <t>Balu</t>
  </si>
  <si>
    <t>Biscuit</t>
  </si>
  <si>
    <t>Cocotte</t>
  </si>
  <si>
    <t>Fish</t>
  </si>
  <si>
    <t>Cats</t>
  </si>
  <si>
    <t>Litter</t>
  </si>
  <si>
    <t>Other</t>
  </si>
  <si>
    <t>Burgandy Fall Sweater</t>
  </si>
  <si>
    <t>Transer</t>
  </si>
  <si>
    <t>Joint Chequing</t>
  </si>
  <si>
    <t>Account (if "Other")</t>
  </si>
  <si>
    <t>Via Joint Chequing</t>
  </si>
  <si>
    <t>Watter and Smoothie bottles (4 Total)</t>
  </si>
  <si>
    <t>Olivier's training suit</t>
  </si>
  <si>
    <t>Dog food</t>
  </si>
  <si>
    <t>Purchase</t>
  </si>
  <si>
    <t>Movie</t>
  </si>
  <si>
    <t>William &amp; Olivier</t>
  </si>
  <si>
    <t>Board games</t>
  </si>
  <si>
    <t>Refund</t>
  </si>
  <si>
    <t>Notes</t>
  </si>
  <si>
    <t>Yup.  Transferred twice.</t>
  </si>
  <si>
    <t>Outstanding</t>
  </si>
  <si>
    <t>Statement</t>
  </si>
  <si>
    <t>Difference</t>
  </si>
  <si>
    <t>Approximate Payments Remaining</t>
  </si>
  <si>
    <t>Grooming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</si>
</sst>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[$-F800]dddd\,\ mmmm\ dd\,\ yyyy"/>
    <numFmt numFmtId="166" formatCode="&quot;$&quot;#,##0.00;[Red]\(&quot;$&quot;#,##0.00\)"/>
    <numFmt numFmtId="167" formatCode="_(* #,##0_);_(* \(#,##0\);_(* &quot;-&quot;??_);_(@_)"/>
    <numFmt numFmtId="168" formatCode=";;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/>
      <top/>
      <bottom style="medium">
        <color indexed="64"/>
      </bottom>
      <diagonal/>
    </border>
    <border>
      <left style="dashed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/>
      <bottom style="double">
        <color rgb="FFFF80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4" borderId="15" applyNumberFormat="0" applyAlignment="0" applyProtection="0"/>
    <xf numFmtId="0" fontId="6" fillId="5" borderId="15" applyNumberFormat="0" applyAlignment="0" applyProtection="0"/>
    <xf numFmtId="0" fontId="7" fillId="0" borderId="16" applyNumberFormat="0" applyFill="0" applyAlignment="0" applyProtection="0"/>
    <xf numFmtId="0" fontId="8" fillId="6" borderId="17" applyNumberFormat="0" applyAlignment="0" applyProtection="0"/>
    <xf numFmtId="0" fontId="1" fillId="7" borderId="18" applyNumberFormat="0" applyFont="0" applyAlignment="0" applyProtection="0"/>
    <xf numFmtId="44" fontId="1" fillId="0" borderId="0" applyFont="0" applyFill="0" applyBorder="0" applyAlignment="0" applyProtection="0"/>
  </cellStyleXfs>
  <cellXfs count="148">
    <xf numFmtId="0" fontId="0" fillId="0" borderId="0" xfId="0"/>
    <xf numFmtId="164" fontId="0" fillId="0" borderId="1" xfId="1" applyFont="1" applyBorder="1"/>
    <xf numFmtId="164" fontId="0" fillId="0" borderId="2" xfId="1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2" borderId="1" xfId="1" applyFont="1" applyFill="1" applyBorder="1"/>
    <xf numFmtId="0" fontId="0" fillId="2" borderId="0" xfId="0" applyFill="1"/>
    <xf numFmtId="164" fontId="0" fillId="3" borderId="1" xfId="1" applyFont="1" applyFill="1" applyBorder="1"/>
    <xf numFmtId="0" fontId="0" fillId="3" borderId="0" xfId="0" applyFill="1"/>
    <xf numFmtId="165" fontId="0" fillId="2" borderId="0" xfId="0" applyNumberFormat="1" applyFill="1"/>
    <xf numFmtId="165" fontId="0" fillId="3" borderId="0" xfId="0" applyNumberFormat="1" applyFill="1"/>
    <xf numFmtId="0" fontId="0" fillId="0" borderId="9" xfId="0" applyBorder="1" applyAlignment="1">
      <alignment horizontal="center" vertical="center"/>
    </xf>
    <xf numFmtId="164" fontId="0" fillId="2" borderId="10" xfId="1" applyFont="1" applyFill="1" applyBorder="1"/>
    <xf numFmtId="164" fontId="0" fillId="3" borderId="10" xfId="1" applyFont="1" applyFill="1" applyBorder="1"/>
    <xf numFmtId="164" fontId="0" fillId="0" borderId="10" xfId="1" applyFont="1" applyBorder="1"/>
    <xf numFmtId="166" fontId="2" fillId="2" borderId="2" xfId="1" applyNumberFormat="1" applyFont="1" applyFill="1" applyBorder="1"/>
    <xf numFmtId="166" fontId="2" fillId="3" borderId="2" xfId="1" applyNumberFormat="1" applyFont="1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0" fillId="0" borderId="0" xfId="0" applyBorder="1"/>
    <xf numFmtId="165" fontId="0" fillId="2" borderId="11" xfId="0" applyNumberFormat="1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3" fillId="2" borderId="11" xfId="0" applyFont="1" applyFill="1" applyBorder="1"/>
    <xf numFmtId="164" fontId="0" fillId="2" borderId="12" xfId="1" applyFont="1" applyFill="1" applyBorder="1"/>
    <xf numFmtId="164" fontId="0" fillId="2" borderId="13" xfId="1" applyFont="1" applyFill="1" applyBorder="1"/>
    <xf numFmtId="166" fontId="2" fillId="2" borderId="14" xfId="1" applyNumberFormat="1" applyFont="1" applyFill="1" applyBorder="1"/>
    <xf numFmtId="164" fontId="0" fillId="0" borderId="0" xfId="1" applyFont="1"/>
    <xf numFmtId="164" fontId="4" fillId="0" borderId="0" xfId="1" applyFont="1"/>
    <xf numFmtId="44" fontId="0" fillId="0" borderId="0" xfId="0" applyNumberFormat="1"/>
    <xf numFmtId="0" fontId="0" fillId="0" borderId="0" xfId="0" applyProtection="1"/>
    <xf numFmtId="0" fontId="0" fillId="0" borderId="19" xfId="0" applyBorder="1" applyProtection="1"/>
    <xf numFmtId="0" fontId="0" fillId="0" borderId="11" xfId="0" applyBorder="1" applyProtection="1"/>
    <xf numFmtId="6" fontId="5" fillId="4" borderId="20" xfId="3" applyNumberFormat="1" applyBorder="1" applyProtection="1">
      <protection locked="0"/>
    </xf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44" fontId="5" fillId="4" borderId="20" xfId="3" applyNumberFormat="1" applyBorder="1" applyProtection="1">
      <protection locked="0"/>
    </xf>
    <xf numFmtId="0" fontId="0" fillId="0" borderId="25" xfId="0" applyBorder="1" applyProtection="1"/>
    <xf numFmtId="0" fontId="0" fillId="0" borderId="0" xfId="0" applyBorder="1" applyProtection="1"/>
    <xf numFmtId="44" fontId="5" fillId="4" borderId="15" xfId="3" applyNumberFormat="1" applyBorder="1" applyProtection="1">
      <protection locked="0"/>
    </xf>
    <xf numFmtId="0" fontId="0" fillId="0" borderId="26" xfId="0" applyBorder="1" applyProtection="1"/>
    <xf numFmtId="15" fontId="10" fillId="8" borderId="25" xfId="0" applyNumberFormat="1" applyFont="1" applyFill="1" applyBorder="1" applyAlignment="1" applyProtection="1">
      <alignment horizontal="center"/>
    </xf>
    <xf numFmtId="0" fontId="4" fillId="8" borderId="0" xfId="0" applyFont="1" applyFill="1" applyBorder="1" applyAlignment="1" applyProtection="1">
      <alignment horizontal="center"/>
    </xf>
    <xf numFmtId="15" fontId="11" fillId="8" borderId="0" xfId="0" applyNumberFormat="1" applyFont="1" applyFill="1" applyBorder="1" applyAlignment="1" applyProtection="1">
      <alignment horizontal="center"/>
    </xf>
    <xf numFmtId="0" fontId="5" fillId="7" borderId="18" xfId="7" applyFont="1" applyProtection="1">
      <protection locked="0"/>
    </xf>
    <xf numFmtId="0" fontId="8" fillId="6" borderId="17" xfId="6" applyProtection="1">
      <protection locked="0"/>
    </xf>
    <xf numFmtId="0" fontId="9" fillId="0" borderId="28" xfId="0" applyFont="1" applyBorder="1" applyAlignment="1" applyProtection="1">
      <alignment horizontal="center"/>
    </xf>
    <xf numFmtId="0" fontId="9" fillId="0" borderId="26" xfId="0" applyFont="1" applyBorder="1" applyAlignment="1" applyProtection="1">
      <alignment horizontal="center"/>
    </xf>
    <xf numFmtId="15" fontId="0" fillId="0" borderId="29" xfId="0" applyNumberFormat="1" applyBorder="1" applyProtection="1"/>
    <xf numFmtId="15" fontId="0" fillId="0" borderId="30" xfId="0" applyNumberFormat="1" applyBorder="1" applyProtection="1"/>
    <xf numFmtId="0" fontId="9" fillId="0" borderId="31" xfId="0" applyFont="1" applyBorder="1" applyAlignment="1" applyProtection="1">
      <alignment horizontal="center"/>
    </xf>
    <xf numFmtId="0" fontId="0" fillId="0" borderId="32" xfId="0" applyBorder="1" applyProtection="1"/>
    <xf numFmtId="15" fontId="0" fillId="0" borderId="23" xfId="0" applyNumberFormat="1" applyBorder="1" applyProtection="1"/>
    <xf numFmtId="44" fontId="5" fillId="4" borderId="20" xfId="8" applyFont="1" applyFill="1" applyBorder="1" applyProtection="1">
      <protection locked="0"/>
    </xf>
    <xf numFmtId="44" fontId="5" fillId="4" borderId="15" xfId="8" applyFont="1" applyFill="1" applyBorder="1" applyProtection="1">
      <protection locked="0"/>
    </xf>
    <xf numFmtId="44" fontId="0" fillId="0" borderId="0" xfId="8" applyFont="1" applyBorder="1" applyProtection="1"/>
    <xf numFmtId="167" fontId="5" fillId="4" borderId="34" xfId="2" applyNumberFormat="1" applyFont="1" applyFill="1" applyBorder="1" applyProtection="1">
      <protection locked="0"/>
    </xf>
    <xf numFmtId="15" fontId="0" fillId="0" borderId="22" xfId="0" applyNumberFormat="1" applyFont="1" applyBorder="1" applyAlignment="1" applyProtection="1">
      <alignment horizontal="center"/>
    </xf>
    <xf numFmtId="15" fontId="0" fillId="0" borderId="23" xfId="0" applyNumberFormat="1" applyFont="1" applyBorder="1" applyAlignment="1" applyProtection="1">
      <alignment horizontal="center"/>
    </xf>
    <xf numFmtId="0" fontId="9" fillId="0" borderId="19" xfId="0" applyFont="1" applyBorder="1" applyProtection="1"/>
    <xf numFmtId="44" fontId="13" fillId="5" borderId="33" xfId="4" applyNumberFormat="1" applyFont="1" applyBorder="1" applyProtection="1"/>
    <xf numFmtId="44" fontId="6" fillId="5" borderId="34" xfId="4" applyNumberFormat="1" applyBorder="1" applyProtection="1"/>
    <xf numFmtId="44" fontId="6" fillId="5" borderId="15" xfId="4" applyNumberFormat="1" applyBorder="1" applyProtection="1"/>
    <xf numFmtId="44" fontId="0" fillId="0" borderId="26" xfId="0" applyNumberFormat="1" applyBorder="1" applyProtection="1"/>
    <xf numFmtId="0" fontId="6" fillId="5" borderId="15" xfId="4" applyBorder="1" applyProtection="1"/>
    <xf numFmtId="0" fontId="5" fillId="7" borderId="18" xfId="7" applyFont="1" applyProtection="1"/>
    <xf numFmtId="0" fontId="14" fillId="0" borderId="0" xfId="0" applyFont="1" applyBorder="1" applyProtection="1"/>
    <xf numFmtId="15" fontId="10" fillId="0" borderId="25" xfId="0" applyNumberFormat="1" applyFont="1" applyBorder="1" applyAlignment="1" applyProtection="1">
      <alignment horizontal="center"/>
    </xf>
    <xf numFmtId="0" fontId="0" fillId="0" borderId="0" xfId="0" applyFill="1" applyBorder="1" applyAlignment="1" applyProtection="1">
      <alignment horizontal="right"/>
    </xf>
    <xf numFmtId="15" fontId="11" fillId="0" borderId="0" xfId="0" applyNumberFormat="1" applyFont="1" applyBorder="1" applyAlignment="1" applyProtection="1">
      <alignment horizontal="center"/>
    </xf>
    <xf numFmtId="15" fontId="0" fillId="0" borderId="0" xfId="0" applyNumberFormat="1" applyBorder="1" applyAlignment="1" applyProtection="1">
      <alignment horizontal="right"/>
    </xf>
    <xf numFmtId="44" fontId="0" fillId="0" borderId="26" xfId="8" applyFont="1" applyBorder="1" applyProtection="1"/>
    <xf numFmtId="44" fontId="13" fillId="5" borderId="0" xfId="4" applyNumberFormat="1" applyFont="1" applyBorder="1" applyProtection="1"/>
    <xf numFmtId="0" fontId="9" fillId="0" borderId="0" xfId="0" applyFont="1" applyBorder="1" applyProtection="1"/>
    <xf numFmtId="0" fontId="9" fillId="0" borderId="0" xfId="0" applyFont="1" applyBorder="1" applyAlignment="1" applyProtection="1">
      <alignment horizontal="center"/>
    </xf>
    <xf numFmtId="15" fontId="0" fillId="0" borderId="0" xfId="0" applyNumberFormat="1" applyBorder="1" applyProtection="1"/>
    <xf numFmtId="15" fontId="0" fillId="0" borderId="0" xfId="0" applyNumberFormat="1" applyFont="1" applyBorder="1" applyAlignment="1" applyProtection="1">
      <alignment horizontal="center"/>
    </xf>
    <xf numFmtId="15" fontId="0" fillId="0" borderId="25" xfId="0" applyNumberFormat="1" applyFont="1" applyBorder="1" applyAlignment="1" applyProtection="1">
      <alignment horizontal="center"/>
    </xf>
    <xf numFmtId="0" fontId="9" fillId="0" borderId="26" xfId="0" applyFont="1" applyBorder="1" applyAlignment="1" applyProtection="1">
      <alignment horizontal="left"/>
    </xf>
    <xf numFmtId="15" fontId="0" fillId="8" borderId="0" xfId="0" applyNumberFormat="1" applyFill="1" applyBorder="1" applyAlignment="1" applyProtection="1">
      <alignment horizontal="center" vertical="center"/>
    </xf>
    <xf numFmtId="15" fontId="14" fillId="8" borderId="5" xfId="0" applyNumberFormat="1" applyFont="1" applyFill="1" applyBorder="1" applyAlignment="1" applyProtection="1">
      <alignment vertical="center"/>
    </xf>
    <xf numFmtId="168" fontId="0" fillId="0" borderId="0" xfId="0" applyNumberFormat="1" applyProtection="1"/>
    <xf numFmtId="44" fontId="5" fillId="4" borderId="35" xfId="8" applyFont="1" applyFill="1" applyBorder="1" applyProtection="1">
      <protection locked="0"/>
    </xf>
    <xf numFmtId="167" fontId="13" fillId="5" borderId="33" xfId="2" applyNumberFormat="1" applyFont="1" applyFill="1" applyBorder="1" applyProtection="1"/>
    <xf numFmtId="0" fontId="7" fillId="5" borderId="16" xfId="5" applyFill="1" applyProtection="1"/>
    <xf numFmtId="44" fontId="7" fillId="0" borderId="36" xfId="5" applyNumberFormat="1" applyBorder="1"/>
    <xf numFmtId="0" fontId="0" fillId="0" borderId="25" xfId="0" applyBorder="1"/>
    <xf numFmtId="44" fontId="5" fillId="4" borderId="34" xfId="3" applyNumberFormat="1" applyBorder="1"/>
    <xf numFmtId="44" fontId="6" fillId="5" borderId="34" xfId="4" applyNumberFormat="1" applyBorder="1"/>
    <xf numFmtId="44" fontId="6" fillId="5" borderId="33" xfId="4" applyNumberFormat="1" applyBorder="1"/>
    <xf numFmtId="0" fontId="0" fillId="0" borderId="19" xfId="0" applyBorder="1"/>
    <xf numFmtId="0" fontId="5" fillId="4" borderId="33" xfId="3" applyNumberFormat="1" applyBorder="1"/>
    <xf numFmtId="8" fontId="0" fillId="0" borderId="0" xfId="0" applyNumberFormat="1"/>
    <xf numFmtId="0" fontId="5" fillId="4" borderId="15" xfId="3" applyProtection="1"/>
    <xf numFmtId="164" fontId="0" fillId="2" borderId="0" xfId="1" applyFont="1" applyFill="1" applyBorder="1"/>
    <xf numFmtId="164" fontId="0" fillId="3" borderId="0" xfId="1" applyFont="1" applyFill="1" applyBorder="1"/>
    <xf numFmtId="0" fontId="0" fillId="10" borderId="0" xfId="0" applyFill="1"/>
    <xf numFmtId="0" fontId="0" fillId="8" borderId="0" xfId="0" applyFill="1"/>
    <xf numFmtId="0" fontId="0" fillId="11" borderId="0" xfId="0" applyFill="1"/>
    <xf numFmtId="8" fontId="16" fillId="0" borderId="0" xfId="0" applyNumberFormat="1" applyFont="1"/>
    <xf numFmtId="0" fontId="16" fillId="9" borderId="0" xfId="0" applyFont="1" applyFill="1"/>
    <xf numFmtId="0" fontId="0" fillId="12" borderId="0" xfId="0" applyFill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2" fillId="3" borderId="0" xfId="1" applyNumberFormat="1" applyFont="1" applyFill="1" applyBorder="1"/>
    <xf numFmtId="165" fontId="0" fillId="3" borderId="11" xfId="0" applyNumberFormat="1" applyFill="1" applyBorder="1"/>
    <xf numFmtId="164" fontId="0" fillId="3" borderId="12" xfId="1" applyFont="1" applyFill="1" applyBorder="1"/>
    <xf numFmtId="164" fontId="0" fillId="3" borderId="13" xfId="1" applyFont="1" applyFill="1" applyBorder="1"/>
    <xf numFmtId="166" fontId="2" fillId="3" borderId="14" xfId="1" applyNumberFormat="1" applyFont="1" applyFill="1" applyBorder="1"/>
    <xf numFmtId="0" fontId="0" fillId="3" borderId="11" xfId="0" applyFill="1" applyBorder="1"/>
    <xf numFmtId="0" fontId="0" fillId="0" borderId="37" xfId="0" applyBorder="1"/>
    <xf numFmtId="0" fontId="12" fillId="0" borderId="37" xfId="0" applyFont="1" applyBorder="1"/>
    <xf numFmtId="0" fontId="12" fillId="0" borderId="38" xfId="0" applyFont="1" applyBorder="1"/>
    <xf numFmtId="166" fontId="12" fillId="3" borderId="39" xfId="1" applyNumberFormat="1" applyFont="1" applyFill="1" applyBorder="1"/>
    <xf numFmtId="164" fontId="0" fillId="0" borderId="0" xfId="1" applyFont="1" applyBorder="1"/>
    <xf numFmtId="8" fontId="5" fillId="4" borderId="15" xfId="3" applyNumberFormat="1"/>
    <xf numFmtId="166" fontId="2" fillId="2" borderId="30" xfId="1" applyNumberFormat="1" applyFont="1" applyFill="1" applyBorder="1"/>
    <xf numFmtId="166" fontId="2" fillId="2" borderId="0" xfId="1" applyNumberFormat="1" applyFont="1" applyFill="1" applyBorder="1"/>
    <xf numFmtId="166" fontId="2" fillId="2" borderId="11" xfId="1" applyNumberFormat="1" applyFont="1" applyFill="1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15" fontId="10" fillId="8" borderId="25" xfId="0" applyNumberFormat="1" applyFont="1" applyFill="1" applyBorder="1" applyAlignment="1" applyProtection="1">
      <alignment horizontal="center" vertical="center"/>
    </xf>
    <xf numFmtId="15" fontId="10" fillId="8" borderId="27" xfId="0" applyNumberFormat="1" applyFont="1" applyFill="1" applyBorder="1" applyAlignment="1" applyProtection="1">
      <alignment horizontal="center" vertical="center"/>
    </xf>
    <xf numFmtId="0" fontId="0" fillId="8" borderId="5" xfId="0" applyFill="1" applyBorder="1" applyAlignment="1" applyProtection="1">
      <alignment horizontal="left"/>
    </xf>
    <xf numFmtId="0" fontId="0" fillId="0" borderId="30" xfId="0" applyBorder="1" applyAlignment="1" applyProtection="1">
      <alignment horizontal="center"/>
    </xf>
    <xf numFmtId="15" fontId="0" fillId="8" borderId="0" xfId="0" applyNumberFormat="1" applyFill="1" applyBorder="1" applyAlignment="1" applyProtection="1">
      <alignment horizontal="right" vertical="center"/>
    </xf>
    <xf numFmtId="15" fontId="0" fillId="8" borderId="5" xfId="0" applyNumberFormat="1" applyFill="1" applyBorder="1" applyAlignment="1" applyProtection="1">
      <alignment horizontal="right" vertical="center"/>
    </xf>
    <xf numFmtId="15" fontId="11" fillId="8" borderId="0" xfId="0" applyNumberFormat="1" applyFont="1" applyFill="1" applyBorder="1" applyAlignment="1" applyProtection="1">
      <alignment horizontal="center" vertical="center"/>
    </xf>
    <xf numFmtId="15" fontId="11" fillId="8" borderId="5" xfId="0" applyNumberFormat="1" applyFont="1" applyFill="1" applyBorder="1" applyAlignment="1" applyProtection="1">
      <alignment horizontal="center" vertical="center"/>
    </xf>
    <xf numFmtId="0" fontId="0" fillId="8" borderId="0" xfId="0" applyFill="1" applyBorder="1" applyAlignment="1" applyProtection="1">
      <alignment horizontal="left"/>
    </xf>
    <xf numFmtId="0" fontId="0" fillId="0" borderId="0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center"/>
    </xf>
    <xf numFmtId="0" fontId="9" fillId="0" borderId="23" xfId="0" applyFont="1" applyBorder="1" applyAlignment="1" applyProtection="1">
      <alignment horizontal="center"/>
    </xf>
    <xf numFmtId="0" fontId="12" fillId="0" borderId="24" xfId="0" applyFont="1" applyBorder="1" applyAlignment="1">
      <alignment horizontal="center"/>
    </xf>
    <xf numFmtId="0" fontId="12" fillId="0" borderId="22" xfId="0" applyFont="1" applyBorder="1" applyAlignment="1">
      <alignment horizontal="center"/>
    </xf>
  </cellXfs>
  <cellStyles count="9">
    <cellStyle name="Calculation" xfId="4" builtinId="22"/>
    <cellStyle name="Check Cell" xfId="6" builtinId="23"/>
    <cellStyle name="Comma" xfId="2" builtinId="3"/>
    <cellStyle name="Currency" xfId="1" builtinId="4"/>
    <cellStyle name="Currency 2" xfId="8"/>
    <cellStyle name="Input" xfId="3" builtinId="20"/>
    <cellStyle name="Linked Cell" xfId="5" builtinId="24"/>
    <cellStyle name="Normal" xfId="0" builtinId="0"/>
    <cellStyle name="Note" xfId="7" builtinId="10"/>
  </cellStyles>
  <dxfs count="1">
    <dxf>
      <fill>
        <patternFill patternType="gray125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L$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8</xdr:col>
          <xdr:colOff>57150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Early Check in?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S227"/>
  <sheetViews>
    <sheetView workbookViewId="0">
      <pane ySplit="900" topLeftCell="A91" activePane="bottomLeft"/>
      <selection activeCell="S2" sqref="S2"/>
      <selection pane="bottomLeft" activeCell="F111" sqref="F111"/>
    </sheetView>
  </sheetViews>
  <sheetFormatPr defaultRowHeight="15" x14ac:dyDescent="0.25"/>
  <cols>
    <col min="1" max="1" width="27.85546875" style="21" bestFit="1" customWidth="1"/>
    <col min="2" max="3" width="14.5703125" style="21" bestFit="1" customWidth="1"/>
    <col min="4" max="4" width="10.5703125" style="21" bestFit="1" customWidth="1"/>
    <col min="5" max="6" width="14.5703125" style="21" bestFit="1" customWidth="1"/>
    <col min="7" max="7" width="12.28515625" style="21" bestFit="1" customWidth="1"/>
    <col min="8" max="8" width="8.7109375" style="21" bestFit="1" customWidth="1"/>
    <col min="9" max="9" width="8.140625" style="21" bestFit="1" customWidth="1"/>
    <col min="10" max="10" width="15.42578125" style="21" bestFit="1" customWidth="1"/>
    <col min="11" max="11" width="15.42578125" style="21" customWidth="1"/>
    <col min="12" max="12" width="34.7109375" style="21" bestFit="1" customWidth="1"/>
    <col min="13" max="18" width="9.140625" style="21"/>
    <col min="19" max="19" width="10.5703125" style="21" bestFit="1" customWidth="1"/>
    <col min="20" max="16384" width="9.140625" style="21"/>
  </cols>
  <sheetData>
    <row r="1" spans="1:19" customFormat="1" x14ac:dyDescent="0.25">
      <c r="A1" s="122" t="s">
        <v>0</v>
      </c>
      <c r="B1" s="124" t="s">
        <v>1</v>
      </c>
      <c r="C1" s="125"/>
      <c r="D1" s="126"/>
      <c r="E1" s="124" t="s">
        <v>2</v>
      </c>
      <c r="F1" s="125"/>
      <c r="G1" s="126"/>
      <c r="H1" s="122" t="s">
        <v>131</v>
      </c>
      <c r="I1" s="122" t="s">
        <v>17</v>
      </c>
      <c r="J1" s="122" t="s">
        <v>19</v>
      </c>
      <c r="K1" s="105"/>
      <c r="L1" s="122" t="s">
        <v>3</v>
      </c>
      <c r="N1" t="s">
        <v>14</v>
      </c>
      <c r="O1" s="29">
        <v>222.42</v>
      </c>
      <c r="P1" s="29"/>
      <c r="S1" s="31">
        <f>MIN(SUM(B$3:B201)-SUM(C$3:C201)-O1,-$G$121)</f>
        <v>20.340000000001055</v>
      </c>
    </row>
    <row r="2" spans="1:19" customFormat="1" x14ac:dyDescent="0.25">
      <c r="A2" s="123"/>
      <c r="B2" s="3" t="s">
        <v>4</v>
      </c>
      <c r="C2" s="11" t="s">
        <v>5</v>
      </c>
      <c r="D2" s="4" t="s">
        <v>36</v>
      </c>
      <c r="E2" s="3" t="s">
        <v>4</v>
      </c>
      <c r="F2" s="11" t="s">
        <v>5</v>
      </c>
      <c r="G2" s="4" t="s">
        <v>36</v>
      </c>
      <c r="H2" s="123"/>
      <c r="I2" s="123"/>
      <c r="J2" s="123"/>
      <c r="K2" s="106"/>
      <c r="L2" s="123"/>
      <c r="N2" t="s">
        <v>13</v>
      </c>
      <c r="O2" s="29">
        <v>82.97</v>
      </c>
      <c r="P2" s="30">
        <f>O2+O1</f>
        <v>305.39</v>
      </c>
      <c r="Q2" t="s">
        <v>55</v>
      </c>
      <c r="S2" s="31">
        <f>MIN(SUM(B$3:B201)-SUM(C$3:C201)-P2,-$G$121)</f>
        <v>-1.4779288903810084E-12</v>
      </c>
    </row>
    <row r="3" spans="1:19" customFormat="1" x14ac:dyDescent="0.25">
      <c r="A3" s="9">
        <v>42856</v>
      </c>
      <c r="B3" s="5">
        <v>1388.14</v>
      </c>
      <c r="C3" s="12"/>
      <c r="D3" s="15">
        <f>IF(NOT(ISBLANK($A3)),SUM(B$3:B3)-SUM(C$3:C3),"")</f>
        <v>1388.14</v>
      </c>
      <c r="E3" s="5"/>
      <c r="F3" s="12"/>
      <c r="G3" s="15">
        <f>IF(NOT(ISBLANK($A3)),SUM(E$3:E3)-SUM(F$3:F3),"")</f>
        <v>0</v>
      </c>
      <c r="H3" s="6"/>
      <c r="I3" s="17"/>
      <c r="J3" s="6" t="s">
        <v>9</v>
      </c>
      <c r="K3" s="119">
        <f>IF(NOT(ISBLANK(A3)),SUMIF($J$3:$J3,$J3,$B$3:$B3)-SUMIF($J$3:$J3,$J3,$C$3:$C3)+IF(J3&lt;&gt;"Transfer",SUMIF($J$3:$J3,$J3,$F$3:$F3)-SUMIF($J$3:$J3,$J3,$E$3:$E3),0),"")</f>
        <v>1388.14</v>
      </c>
      <c r="L3" s="19" t="s">
        <v>6</v>
      </c>
    </row>
    <row r="4" spans="1:19" customFormat="1" x14ac:dyDescent="0.25">
      <c r="A4" s="9">
        <v>42875</v>
      </c>
      <c r="B4" s="5"/>
      <c r="C4" s="12"/>
      <c r="D4" s="15">
        <f>IF(NOT(ISBLANK($A4)),SUM(B$3:B4)-SUM(C$3:C4),"")</f>
        <v>1388.14</v>
      </c>
      <c r="E4" s="5"/>
      <c r="F4" s="12">
        <v>1000</v>
      </c>
      <c r="G4" s="15">
        <f>IF(NOT(ISBLANK($A4)),SUM(E$3:E4)-SUM(F$3:F4),"")</f>
        <v>-1000</v>
      </c>
      <c r="H4" s="6" t="b">
        <v>1</v>
      </c>
      <c r="I4" s="17"/>
      <c r="J4" s="6" t="s">
        <v>14</v>
      </c>
      <c r="K4" s="120">
        <f>IF(NOT(ISBLANK(A4)),SUMIF($J$3:$J4,$J4,$B$3:$B4)-SUMIF($J$3:$J4,$J4,$C$3:$C4)+IF(J4&lt;&gt;"Transfer",SUMIF($J$3:$J4,$J4,$F$3:$F4)-SUMIF($J$3:$J4,$J4,$E$3:$E4),0),"")</f>
        <v>1000</v>
      </c>
      <c r="L4" s="19" t="s">
        <v>7</v>
      </c>
    </row>
    <row r="5" spans="1:19" customFormat="1" x14ac:dyDescent="0.25">
      <c r="A5" s="9">
        <v>42877</v>
      </c>
      <c r="B5" s="5"/>
      <c r="C5" s="12"/>
      <c r="D5" s="15">
        <f>IF(NOT(ISBLANK($A5)),SUM(B$3:B5)-SUM(C$3:C5),"")</f>
        <v>1388.14</v>
      </c>
      <c r="E5" s="5"/>
      <c r="F5" s="12">
        <v>32.54</v>
      </c>
      <c r="G5" s="15">
        <f>IF(NOT(ISBLANK($A5)),SUM(E$3:E5)-SUM(F$3:F5),"")</f>
        <v>-1032.54</v>
      </c>
      <c r="H5" s="6"/>
      <c r="I5" s="17"/>
      <c r="J5" s="6" t="s">
        <v>10</v>
      </c>
      <c r="K5" s="120">
        <f>IF(NOT(ISBLANK(A5)),SUMIF($J$3:$J5,$J5,$B$3:$B5)-SUMIF($J$3:$J5,$J5,$C$3:$C5)+IF(J5&lt;&gt;"Transfer",SUMIF($J$3:$J5,$J5,$F$3:$F5)-SUMIF($J$3:$J5,$J5,$E$3:$E5),0),"")</f>
        <v>32.54</v>
      </c>
      <c r="L5" s="19" t="s">
        <v>20</v>
      </c>
    </row>
    <row r="6" spans="1:19" customFormat="1" x14ac:dyDescent="0.25">
      <c r="A6" s="10">
        <v>42878</v>
      </c>
      <c r="B6" s="7"/>
      <c r="C6" s="13">
        <v>1000</v>
      </c>
      <c r="D6" s="16">
        <f>IF(NOT(ISBLANK($A6)),SUM(B$3:B6)-SUM(C$3:C6),"")</f>
        <v>388.1400000000001</v>
      </c>
      <c r="E6" s="7">
        <v>1000</v>
      </c>
      <c r="F6" s="13"/>
      <c r="G6" s="16">
        <f>IF(NOT(ISBLANK($A6)),SUM(E$3:E6)-SUM(F$3:F6),"")</f>
        <v>-32.539999999999964</v>
      </c>
      <c r="H6" s="8" t="b">
        <v>1</v>
      </c>
      <c r="I6" s="18"/>
      <c r="J6" s="8" t="s">
        <v>18</v>
      </c>
      <c r="K6" s="107">
        <f>IF(NOT(ISBLANK(A6)),SUMIF($J$3:$J6,$J6,$B$3:$B6)-SUMIF($J$3:$J6,$J6,$C$3:$C6)+IF(J6&lt;&gt;"Transfer",SUMIF($J$3:$J6,$J6,$F$3:$F6)-SUMIF($J$3:$J6,$J6,$E$3:$E6),0),"")</f>
        <v>-1000</v>
      </c>
      <c r="L6" s="20" t="s">
        <v>7</v>
      </c>
    </row>
    <row r="7" spans="1:19" customFormat="1" x14ac:dyDescent="0.25">
      <c r="A7" s="10">
        <v>42879</v>
      </c>
      <c r="B7" s="7"/>
      <c r="C7" s="13">
        <v>32.54</v>
      </c>
      <c r="D7" s="16">
        <f>IF(NOT(ISBLANK($A7)),SUM(B$3:B7)-SUM(C$3:C7),"")</f>
        <v>355.60000000000014</v>
      </c>
      <c r="E7" s="7"/>
      <c r="F7" s="13"/>
      <c r="G7" s="16">
        <f>IF(NOT(ISBLANK($A7)),SUM(E$3:E7)-SUM(F$3:F7),"")</f>
        <v>-32.539999999999964</v>
      </c>
      <c r="H7" s="8"/>
      <c r="I7" s="18"/>
      <c r="J7" s="8" t="s">
        <v>18</v>
      </c>
      <c r="K7" s="107">
        <f>IF(NOT(ISBLANK(A7)),SUMIF($J$3:$J7,$J7,$B$3:$B7)-SUMIF($J$3:$J7,$J7,$C$3:$C7)+IF(J7&lt;&gt;"Transfer",SUMIF($J$3:$J7,$J7,$F$3:$F7)-SUMIF($J$3:$J7,$J7,$E$3:$E7),0),"")</f>
        <v>-1032.54</v>
      </c>
      <c r="L7" s="20" t="s">
        <v>20</v>
      </c>
    </row>
    <row r="8" spans="1:19" customFormat="1" x14ac:dyDescent="0.25">
      <c r="A8" s="10">
        <v>42881</v>
      </c>
      <c r="B8" s="7"/>
      <c r="C8" s="13"/>
      <c r="D8" s="16">
        <f>IF(NOT(ISBLANK($A8)),SUM(B$3:B8)-SUM(C$3:C8),"")</f>
        <v>355.60000000000014</v>
      </c>
      <c r="E8" s="7"/>
      <c r="F8" s="13">
        <v>49.64</v>
      </c>
      <c r="G8" s="16">
        <f>IF(NOT(ISBLANK($A8)),SUM(E$3:E8)-SUM(F$3:F8),"")</f>
        <v>-82.180000000000064</v>
      </c>
      <c r="H8" s="8"/>
      <c r="I8" s="18"/>
      <c r="J8" s="8" t="s">
        <v>26</v>
      </c>
      <c r="K8" s="107">
        <f>IF(NOT(ISBLANK(A8)),SUMIF($J$3:$J8,$J8,$B$3:$B8)-SUMIF($J$3:$J8,$J8,$C$3:$C8)+IF(J8&lt;&gt;"Transfer",SUMIF($J$3:$J8,$J8,$F$3:$F8)-SUMIF($J$3:$J8,$J8,$E$3:$E8),0),"")</f>
        <v>49.64</v>
      </c>
      <c r="L8" s="20" t="s">
        <v>27</v>
      </c>
    </row>
    <row r="9" spans="1:19" customFormat="1" x14ac:dyDescent="0.25">
      <c r="A9" s="9">
        <v>42870</v>
      </c>
      <c r="B9" s="5"/>
      <c r="C9" s="12"/>
      <c r="D9" s="15">
        <f>IF(NOT(ISBLANK($A9)),SUM(B$3:B9)-SUM(C$3:C9),"")</f>
        <v>355.60000000000014</v>
      </c>
      <c r="E9" s="5"/>
      <c r="F9" s="12">
        <v>3</v>
      </c>
      <c r="G9" s="15">
        <f>IF(NOT(ISBLANK($A9)),SUM(E$3:E9)-SUM(F$3:F9),"")</f>
        <v>-85.180000000000064</v>
      </c>
      <c r="H9" s="6"/>
      <c r="I9" s="17"/>
      <c r="J9" s="6" t="s">
        <v>28</v>
      </c>
      <c r="K9" s="120">
        <f>IF(NOT(ISBLANK(A9)),SUMIF($J$3:$J9,$J9,$B$3:$B9)-SUMIF($J$3:$J9,$J9,$C$3:$C9)+IF(J9&lt;&gt;"Transfer",SUMIF($J$3:$J9,$J9,$F$3:$F9)-SUMIF($J$3:$J9,$J9,$E$3:$E9),0),"")</f>
        <v>3</v>
      </c>
      <c r="L9" s="19"/>
    </row>
    <row r="10" spans="1:19" customFormat="1" x14ac:dyDescent="0.25">
      <c r="A10" s="9">
        <v>42882</v>
      </c>
      <c r="B10" s="5"/>
      <c r="C10" s="12"/>
      <c r="D10" s="15">
        <f>IF(NOT(ISBLANK($A10)),SUM(B$3:B10)-SUM(C$3:C10),"")</f>
        <v>355.60000000000014</v>
      </c>
      <c r="E10" s="5"/>
      <c r="F10" s="12">
        <v>3</v>
      </c>
      <c r="G10" s="15">
        <f>IF(NOT(ISBLANK($A10)),SUM(E$3:E10)-SUM(F$3:F10),"")</f>
        <v>-88.180000000000064</v>
      </c>
      <c r="H10" s="6"/>
      <c r="I10" s="17"/>
      <c r="J10" s="6" t="s">
        <v>28</v>
      </c>
      <c r="K10" s="120">
        <f>IF(NOT(ISBLANK(A10)),SUMIF($J$3:$J10,$J10,$B$3:$B10)-SUMIF($J$3:$J10,$J10,$C$3:$C10)+IF(J10&lt;&gt;"Transfer",SUMIF($J$3:$J10,$J10,$F$3:$F10)-SUMIF($J$3:$J10,$J10,$E$3:$E10),0),"")</f>
        <v>6</v>
      </c>
      <c r="L10" s="19"/>
    </row>
    <row r="11" spans="1:19" customFormat="1" x14ac:dyDescent="0.25">
      <c r="A11" s="9">
        <v>42882</v>
      </c>
      <c r="B11" s="5"/>
      <c r="C11" s="12"/>
      <c r="D11" s="15">
        <f>IF(NOT(ISBLANK($A11)),SUM(B$3:B11)-SUM(C$3:C11),"")</f>
        <v>355.60000000000014</v>
      </c>
      <c r="E11" s="5"/>
      <c r="F11" s="12">
        <v>4.5</v>
      </c>
      <c r="G11" s="15">
        <f>IF(NOT(ISBLANK($A11)),SUM(E$3:E11)-SUM(F$3:F11),"")</f>
        <v>-92.680000000000064</v>
      </c>
      <c r="H11" s="6"/>
      <c r="I11" s="17"/>
      <c r="J11" s="6" t="s">
        <v>28</v>
      </c>
      <c r="K11" s="120">
        <f>IF(NOT(ISBLANK(A11)),SUMIF($J$3:$J11,$J11,$B$3:$B11)-SUMIF($J$3:$J11,$J11,$C$3:$C11)+IF(J11&lt;&gt;"Transfer",SUMIF($J$3:$J11,$J11,$F$3:$F11)-SUMIF($J$3:$J11,$J11,$E$3:$E11),0),"")</f>
        <v>10.5</v>
      </c>
      <c r="L11" s="19"/>
    </row>
    <row r="12" spans="1:19" customFormat="1" x14ac:dyDescent="0.25">
      <c r="A12" s="10">
        <v>42884</v>
      </c>
      <c r="B12" s="7"/>
      <c r="C12" s="13"/>
      <c r="D12" s="16">
        <f>IF(NOT(ISBLANK($A12)),SUM(B$3:B12)-SUM(C$3:C12),"")</f>
        <v>355.60000000000014</v>
      </c>
      <c r="E12" s="7"/>
      <c r="F12" s="13">
        <v>51.25</v>
      </c>
      <c r="G12" s="16">
        <f>IF(NOT(ISBLANK($A12)),SUM(E$3:E12)-SUM(F$3:F12),"")</f>
        <v>-143.93000000000006</v>
      </c>
      <c r="H12" s="8"/>
      <c r="I12" s="18"/>
      <c r="J12" s="8" t="s">
        <v>26</v>
      </c>
      <c r="K12" s="107">
        <f>IF(NOT(ISBLANK(A12)),SUMIF($J$3:$J12,$J12,$B$3:$B12)-SUMIF($J$3:$J12,$J12,$C$3:$C12)+IF(J12&lt;&gt;"Transfer",SUMIF($J$3:$J12,$J12,$F$3:$F12)-SUMIF($J$3:$J12,$J12,$E$3:$E12),0),"")</f>
        <v>100.89</v>
      </c>
      <c r="L12" s="20" t="s">
        <v>27</v>
      </c>
    </row>
    <row r="13" spans="1:19" customFormat="1" x14ac:dyDescent="0.25">
      <c r="A13" s="10">
        <v>42884</v>
      </c>
      <c r="B13" s="7"/>
      <c r="C13" s="13"/>
      <c r="D13" s="16">
        <f>IF(NOT(ISBLANK($A13)),SUM(B$3:B13)-SUM(C$3:C13),"")</f>
        <v>355.60000000000014</v>
      </c>
      <c r="E13" s="7"/>
      <c r="F13" s="13">
        <v>50</v>
      </c>
      <c r="G13" s="16">
        <f>IF(NOT(ISBLANK($A13)),SUM(E$3:E13)-SUM(F$3:F13),"")</f>
        <v>-193.93000000000006</v>
      </c>
      <c r="H13" s="8"/>
      <c r="I13" s="18"/>
      <c r="J13" s="8" t="s">
        <v>10</v>
      </c>
      <c r="K13" s="107">
        <f>IF(NOT(ISBLANK(A13)),SUMIF($J$3:$J13,$J13,$B$3:$B13)-SUMIF($J$3:$J13,$J13,$C$3:$C13)+IF(J13&lt;&gt;"Transfer",SUMIF($J$3:$J13,$J13,$F$3:$F13)-SUMIF($J$3:$J13,$J13,$E$3:$E13),0),"")</f>
        <v>82.539999999999992</v>
      </c>
      <c r="L13" s="20" t="s">
        <v>27</v>
      </c>
    </row>
    <row r="14" spans="1:19" customFormat="1" x14ac:dyDescent="0.25">
      <c r="A14" s="10">
        <v>42886</v>
      </c>
      <c r="B14" s="7"/>
      <c r="C14" s="13"/>
      <c r="D14" s="16">
        <f>IF(NOT(ISBLANK($A14)),SUM(B$3:B14)-SUM(C$3:C14),"")</f>
        <v>355.60000000000014</v>
      </c>
      <c r="E14" s="7"/>
      <c r="F14" s="13">
        <v>21.46</v>
      </c>
      <c r="G14" s="16">
        <f>IF(NOT(ISBLANK($A14)),SUM(E$3:E14)-SUM(F$3:F14),"")</f>
        <v>-215.3900000000001</v>
      </c>
      <c r="H14" s="8" t="b">
        <v>1</v>
      </c>
      <c r="I14" s="18"/>
      <c r="J14" s="8" t="s">
        <v>21</v>
      </c>
      <c r="K14" s="107">
        <f>IF(NOT(ISBLANK(A14)),SUMIF($J$3:$J14,$J14,$B$3:$B14)-SUMIF($J$3:$J14,$J14,$C$3:$C14)+IF(J14&lt;&gt;"Transfer",SUMIF($J$3:$J14,$J14,$F$3:$F14)-SUMIF($J$3:$J14,$J14,$E$3:$E14),0),"")</f>
        <v>21.46</v>
      </c>
      <c r="L14" s="20" t="s">
        <v>8</v>
      </c>
    </row>
    <row r="15" spans="1:19" customFormat="1" x14ac:dyDescent="0.25">
      <c r="A15" s="9">
        <v>42886</v>
      </c>
      <c r="B15" s="5"/>
      <c r="C15" s="12">
        <v>21.46</v>
      </c>
      <c r="D15" s="15">
        <f>IF(NOT(ISBLANK($A15)),SUM(B$3:B15)-SUM(C$3:C15),"")</f>
        <v>334.1400000000001</v>
      </c>
      <c r="E15" s="5">
        <v>21.46</v>
      </c>
      <c r="F15" s="12"/>
      <c r="G15" s="15">
        <f>IF(NOT(ISBLANK($A15)),SUM(E$3:E15)-SUM(F$3:F15),"")</f>
        <v>-193.93000000000006</v>
      </c>
      <c r="H15" s="6"/>
      <c r="I15" s="17"/>
      <c r="J15" s="6" t="s">
        <v>18</v>
      </c>
      <c r="K15" s="120">
        <f>IF(NOT(ISBLANK(A15)),SUMIF($J$3:$J15,$J15,$B$3:$B15)-SUMIF($J$3:$J15,$J15,$C$3:$C15)+IF(J15&lt;&gt;"Transfer",SUMIF($J$3:$J15,$J15,$F$3:$F15)-SUMIF($J$3:$J15,$J15,$E$3:$E15),0),"")</f>
        <v>-1054</v>
      </c>
      <c r="L15" s="19"/>
    </row>
    <row r="16" spans="1:19" customFormat="1" x14ac:dyDescent="0.25">
      <c r="A16" s="9">
        <v>42887</v>
      </c>
      <c r="B16" s="5">
        <v>400</v>
      </c>
      <c r="C16" s="12"/>
      <c r="D16" s="15">
        <f>IF(NOT(ISBLANK($A16)),SUM(B$3:B16)-SUM(C$3:C16),"")</f>
        <v>734.1400000000001</v>
      </c>
      <c r="E16" s="5"/>
      <c r="F16" s="12"/>
      <c r="G16" s="15">
        <f>IF(NOT(ISBLANK($A16)),SUM(E$3:E16)-SUM(F$3:F16),"")</f>
        <v>-193.93000000000006</v>
      </c>
      <c r="H16" s="6"/>
      <c r="I16" s="17"/>
      <c r="J16" s="6" t="s">
        <v>9</v>
      </c>
      <c r="K16" s="120">
        <f>IF(NOT(ISBLANK(A16)),SUMIF($J$3:$J16,$J16,$B$3:$B16)-SUMIF($J$3:$J16,$J16,$C$3:$C16)+IF(J16&lt;&gt;"Transfer",SUMIF($J$3:$J16,$J16,$F$3:$F16)-SUMIF($J$3:$J16,$J16,$E$3:$E16),0),"")</f>
        <v>1788.14</v>
      </c>
      <c r="L16" s="19"/>
    </row>
    <row r="17" spans="1:12" customFormat="1" x14ac:dyDescent="0.25">
      <c r="A17" s="9">
        <v>42887</v>
      </c>
      <c r="B17" s="5">
        <v>0.48</v>
      </c>
      <c r="C17" s="12"/>
      <c r="D17" s="15">
        <f>IF(NOT(ISBLANK($A17)),SUM(B$3:B17)-SUM(C$3:C17),"")</f>
        <v>734.62000000000012</v>
      </c>
      <c r="E17" s="5"/>
      <c r="F17" s="12"/>
      <c r="G17" s="15">
        <f>IF(NOT(ISBLANK($A17)),SUM(E$3:E17)-SUM(F$3:F17),"")</f>
        <v>-193.93000000000006</v>
      </c>
      <c r="H17" s="6"/>
      <c r="I17" s="17"/>
      <c r="J17" s="6" t="s">
        <v>9</v>
      </c>
      <c r="K17" s="120">
        <f>IF(NOT(ISBLANK(A17)),SUMIF($J$3:$J17,$J17,$B$3:$B17)-SUMIF($J$3:$J17,$J17,$C$3:$C17)+IF(J17&lt;&gt;"Transfer",SUMIF($J$3:$J17,$J17,$F$3:$F17)-SUMIF($J$3:$J17,$J17,$E$3:$E17),0),"")</f>
        <v>1788.6200000000001</v>
      </c>
      <c r="L17" s="19" t="s">
        <v>37</v>
      </c>
    </row>
    <row r="18" spans="1:12" customFormat="1" x14ac:dyDescent="0.25">
      <c r="A18" s="10">
        <v>42892</v>
      </c>
      <c r="B18" s="7"/>
      <c r="C18" s="13"/>
      <c r="D18" s="16">
        <f>IF(NOT(ISBLANK($A18)),SUM(B$3:B18)-SUM(C$3:C18),"")</f>
        <v>734.62000000000012</v>
      </c>
      <c r="E18" s="7"/>
      <c r="F18" s="13">
        <v>74.010000000000005</v>
      </c>
      <c r="G18" s="16">
        <f>IF(NOT(ISBLANK($A18)),SUM(E$3:E18)-SUM(F$3:F18),"")</f>
        <v>-267.94000000000005</v>
      </c>
      <c r="H18" s="8" t="b">
        <v>1</v>
      </c>
      <c r="I18" s="18">
        <v>57989</v>
      </c>
      <c r="J18" s="8" t="s">
        <v>10</v>
      </c>
      <c r="K18" s="107">
        <f>IF(NOT(ISBLANK(A18)),SUMIF($J$3:$J18,$J18,$B$3:$B18)-SUMIF($J$3:$J18,$J18,$C$3:$C18)+IF(J18&lt;&gt;"Transfer",SUMIF($J$3:$J18,$J18,$F$3:$F18)-SUMIF($J$3:$J18,$J18,$E$3:$E18),0),"")</f>
        <v>156.55000000000001</v>
      </c>
      <c r="L18" s="20"/>
    </row>
    <row r="19" spans="1:12" customFormat="1" x14ac:dyDescent="0.25">
      <c r="A19" s="10">
        <v>42892</v>
      </c>
      <c r="B19" s="7"/>
      <c r="C19" s="13">
        <v>74.010000000000005</v>
      </c>
      <c r="D19" s="16">
        <f>IF(NOT(ISBLANK($A19)),SUM(B$3:B19)-SUM(C$3:C19),"")</f>
        <v>660.61000000000013</v>
      </c>
      <c r="E19" s="7">
        <v>74.010000000000005</v>
      </c>
      <c r="F19" s="13"/>
      <c r="G19" s="16">
        <f>IF(NOT(ISBLANK($A19)),SUM(E$3:E19)-SUM(F$3:F19),"")</f>
        <v>-193.93000000000006</v>
      </c>
      <c r="H19" s="8"/>
      <c r="I19" s="18"/>
      <c r="J19" s="8"/>
      <c r="K19" s="107">
        <f>IF(NOT(ISBLANK(A19)),SUMIF($J$3:$J19,$J19,$B$3:$B19)-SUMIF($J$3:$J19,$J19,$C$3:$C19)+IF(J19&lt;&gt;"Transfer",SUMIF($J$3:$J19,$J19,$F$3:$F19)-SUMIF($J$3:$J19,$J19,$E$3:$E19),0),"")</f>
        <v>0</v>
      </c>
      <c r="L19" s="20"/>
    </row>
    <row r="20" spans="1:12" customFormat="1" x14ac:dyDescent="0.25">
      <c r="A20" s="10">
        <v>42895</v>
      </c>
      <c r="B20" s="7"/>
      <c r="C20" s="13"/>
      <c r="D20" s="16">
        <f>IF(NOT(ISBLANK($A20)),SUM(B$3:B20)-SUM(C$3:C20),"")</f>
        <v>660.61000000000013</v>
      </c>
      <c r="E20" s="7"/>
      <c r="F20" s="13">
        <v>68</v>
      </c>
      <c r="G20" s="16">
        <f>IF(NOT(ISBLANK($A20)),SUM(E$3:E20)-SUM(F$3:F20),"")</f>
        <v>-261.93000000000006</v>
      </c>
      <c r="H20" s="8" t="b">
        <v>1</v>
      </c>
      <c r="I20" s="18"/>
      <c r="J20" s="8" t="s">
        <v>22</v>
      </c>
      <c r="K20" s="107">
        <f>IF(NOT(ISBLANK(A20)),SUMIF($J$3:$J20,$J20,$B$3:$B20)-SUMIF($J$3:$J20,$J20,$C$3:$C20)+IF(J20&lt;&gt;"Transfer",SUMIF($J$3:$J20,$J20,$F$3:$F20)-SUMIF($J$3:$J20,$J20,$E$3:$E20),0),"")</f>
        <v>68</v>
      </c>
      <c r="L20" s="20" t="s">
        <v>11</v>
      </c>
    </row>
    <row r="21" spans="1:12" customFormat="1" x14ac:dyDescent="0.25">
      <c r="A21" s="9">
        <v>42898</v>
      </c>
      <c r="B21" s="5"/>
      <c r="C21" s="12">
        <v>68</v>
      </c>
      <c r="D21" s="15">
        <f>IF(NOT(ISBLANK($A21)),SUM(B$3:B21)-SUM(C$3:C21),"")</f>
        <v>592.61000000000013</v>
      </c>
      <c r="E21" s="5">
        <v>68</v>
      </c>
      <c r="F21" s="12"/>
      <c r="G21" s="15">
        <f>IF(NOT(ISBLANK($A21)),SUM(E$3:E21)-SUM(F$3:F21),"")</f>
        <v>-193.93000000000006</v>
      </c>
      <c r="H21" s="6"/>
      <c r="I21" s="17"/>
      <c r="J21" s="6" t="s">
        <v>18</v>
      </c>
      <c r="K21" s="120">
        <f>IF(NOT(ISBLANK(A21)),SUMIF($J$3:$J21,$J21,$B$3:$B21)-SUMIF($J$3:$J21,$J21,$C$3:$C21)+IF(J21&lt;&gt;"Transfer",SUMIF($J$3:$J21,$J21,$F$3:$F21)-SUMIF($J$3:$J21,$J21,$E$3:$E21),0),"")</f>
        <v>-1122</v>
      </c>
      <c r="L21" s="19"/>
    </row>
    <row r="22" spans="1:12" customFormat="1" x14ac:dyDescent="0.25">
      <c r="A22" s="9">
        <v>42900</v>
      </c>
      <c r="B22" s="5"/>
      <c r="C22" s="12">
        <v>2</v>
      </c>
      <c r="D22" s="15">
        <f>IF(NOT(ISBLANK($A22)),SUM(B$3:B22)-SUM(C$3:C22),"")</f>
        <v>590.61000000000013</v>
      </c>
      <c r="E22" s="5"/>
      <c r="F22" s="12"/>
      <c r="G22" s="15">
        <f>IF(NOT(ISBLANK($A22)),SUM(E$3:E22)-SUM(F$3:F22),"")</f>
        <v>-193.93000000000006</v>
      </c>
      <c r="H22" s="6"/>
      <c r="I22" s="17"/>
      <c r="J22" s="6" t="s">
        <v>23</v>
      </c>
      <c r="K22" s="120">
        <f>IF(NOT(ISBLANK(A22)),SUMIF($J$3:$J22,$J22,$B$3:$B22)-SUMIF($J$3:$J22,$J22,$C$3:$C22)+IF(J22&lt;&gt;"Transfer",SUMIF($J$3:$J22,$J22,$F$3:$F22)-SUMIF($J$3:$J22,$J22,$E$3:$E22),0),"")</f>
        <v>-2</v>
      </c>
      <c r="L22" s="19" t="s">
        <v>12</v>
      </c>
    </row>
    <row r="23" spans="1:12" customFormat="1" x14ac:dyDescent="0.25">
      <c r="A23" s="9">
        <v>42900</v>
      </c>
      <c r="B23" s="5"/>
      <c r="C23" s="12">
        <v>79.64</v>
      </c>
      <c r="D23" s="15">
        <f>IF(NOT(ISBLANK($A23)),SUM(B$3:B23)-SUM(C$3:C23),"")</f>
        <v>510.97</v>
      </c>
      <c r="E23" s="5"/>
      <c r="F23" s="12"/>
      <c r="G23" s="15">
        <f>IF(NOT(ISBLANK($A23)),SUM(E$3:E23)-SUM(F$3:F23),"")</f>
        <v>-193.93000000000006</v>
      </c>
      <c r="H23" s="6" t="b">
        <v>1</v>
      </c>
      <c r="I23" s="17">
        <v>58503</v>
      </c>
      <c r="J23" s="6" t="s">
        <v>10</v>
      </c>
      <c r="K23" s="120">
        <f>IF(NOT(ISBLANK(A23)),SUMIF($J$3:$J23,$J23,$B$3:$B23)-SUMIF($J$3:$J23,$J23,$C$3:$C23)+IF(J23&lt;&gt;"Transfer",SUMIF($J$3:$J23,$J23,$F$3:$F23)-SUMIF($J$3:$J23,$J23,$E$3:$E23),0),"")</f>
        <v>76.910000000000011</v>
      </c>
      <c r="L23" s="19" t="s">
        <v>35</v>
      </c>
    </row>
    <row r="24" spans="1:12" customFormat="1" x14ac:dyDescent="0.25">
      <c r="A24" s="10">
        <v>42900</v>
      </c>
      <c r="B24" s="7"/>
      <c r="C24" s="13">
        <v>82.97</v>
      </c>
      <c r="D24" s="16">
        <f>IF(NOT(ISBLANK($A24)),SUM(B$3:B24)-SUM(C$3:C24),"")</f>
        <v>428</v>
      </c>
      <c r="E24" s="7"/>
      <c r="F24" s="13"/>
      <c r="G24" s="16">
        <f>IF(NOT(ISBLANK($A24)),SUM(E$3:E24)-SUM(F$3:F24),"")</f>
        <v>-193.93000000000006</v>
      </c>
      <c r="H24" s="8"/>
      <c r="I24" s="18"/>
      <c r="J24" s="8" t="s">
        <v>13</v>
      </c>
      <c r="K24" s="107">
        <f>IF(NOT(ISBLANK(A24)),SUMIF($J$3:$J24,$J24,$B$3:$B24)-SUMIF($J$3:$J24,$J24,$C$3:$C24)+IF(J24&lt;&gt;"Transfer",SUMIF($J$3:$J24,$J24,$F$3:$F24)-SUMIF($J$3:$J24,$J24,$E$3:$E24),0),"")</f>
        <v>-82.97</v>
      </c>
      <c r="L24" s="20"/>
    </row>
    <row r="25" spans="1:12" customFormat="1" x14ac:dyDescent="0.25">
      <c r="A25" s="10">
        <v>42901</v>
      </c>
      <c r="B25" s="7"/>
      <c r="C25" s="13">
        <v>222.42</v>
      </c>
      <c r="D25" s="16">
        <f>IF(NOT(ISBLANK($A25)),SUM(B$3:B25)-SUM(C$3:C25),"")</f>
        <v>205.57999999999993</v>
      </c>
      <c r="E25" s="7"/>
      <c r="F25" s="13"/>
      <c r="G25" s="16">
        <f>IF(NOT(ISBLANK($A25)),SUM(E$3:E25)-SUM(F$3:F25),"")</f>
        <v>-193.93000000000006</v>
      </c>
      <c r="H25" s="8"/>
      <c r="I25" s="18"/>
      <c r="J25" s="8" t="s">
        <v>14</v>
      </c>
      <c r="K25" s="107">
        <f>IF(NOT(ISBLANK(A25)),SUMIF($J$3:$J25,$J25,$B$3:$B25)-SUMIF($J$3:$J25,$J25,$C$3:$C25)+IF(J25&lt;&gt;"Transfer",SUMIF($J$3:$J25,$J25,$F$3:$F25)-SUMIF($J$3:$J25,$J25,$E$3:$E25),0),"")</f>
        <v>777.58</v>
      </c>
      <c r="L25" s="20"/>
    </row>
    <row r="26" spans="1:12" customFormat="1" x14ac:dyDescent="0.25">
      <c r="A26" s="10">
        <v>42901</v>
      </c>
      <c r="B26" s="7"/>
      <c r="C26" s="13">
        <v>5</v>
      </c>
      <c r="D26" s="16">
        <f>IF(NOT(ISBLANK($A26)),SUM(B$3:B26)-SUM(C$3:C26),"")</f>
        <v>200.57999999999993</v>
      </c>
      <c r="E26" s="7"/>
      <c r="F26" s="13"/>
      <c r="G26" s="16">
        <f>IF(NOT(ISBLANK($A26)),SUM(E$3:E26)-SUM(F$3:F26),"")</f>
        <v>-193.93000000000006</v>
      </c>
      <c r="H26" s="8"/>
      <c r="I26" s="18"/>
      <c r="J26" s="8" t="s">
        <v>15</v>
      </c>
      <c r="K26" s="107">
        <f>IF(NOT(ISBLANK(A26)),SUMIF($J$3:$J26,$J26,$B$3:$B26)-SUMIF($J$3:$J26,$J26,$C$3:$C26)+IF(J26&lt;&gt;"Transfer",SUMIF($J$3:$J26,$J26,$F$3:$F26)-SUMIF($J$3:$J26,$J26,$E$3:$E26),0),"")</f>
        <v>-5</v>
      </c>
      <c r="L26" s="20"/>
    </row>
    <row r="27" spans="1:12" customFormat="1" x14ac:dyDescent="0.25">
      <c r="A27" s="9">
        <v>42902</v>
      </c>
      <c r="B27" s="5">
        <v>400</v>
      </c>
      <c r="C27" s="12"/>
      <c r="D27" s="15">
        <f>IF(NOT(ISBLANK($A27)),SUM(B$3:B27)-SUM(C$3:C27),"")</f>
        <v>600.5799999999997</v>
      </c>
      <c r="E27" s="5"/>
      <c r="F27" s="12"/>
      <c r="G27" s="15">
        <f>IF(NOT(ISBLANK($A27)),SUM(E$3:E27)-SUM(F$3:F27),"")</f>
        <v>-193.93000000000006</v>
      </c>
      <c r="H27" s="6"/>
      <c r="I27" s="17"/>
      <c r="J27" s="6" t="s">
        <v>9</v>
      </c>
      <c r="K27" s="120">
        <f>IF(NOT(ISBLANK(A27)),SUMIF($J$3:$J27,$J27,$B$3:$B27)-SUMIF($J$3:$J27,$J27,$C$3:$C27)+IF(J27&lt;&gt;"Transfer",SUMIF($J$3:$J27,$J27,$F$3:$F27)-SUMIF($J$3:$J27,$J27,$E$3:$E27),0),"")</f>
        <v>2188.62</v>
      </c>
      <c r="L27" s="19"/>
    </row>
    <row r="28" spans="1:12" customFormat="1" x14ac:dyDescent="0.25">
      <c r="A28" s="9">
        <v>42906</v>
      </c>
      <c r="B28" s="5"/>
      <c r="C28" s="12"/>
      <c r="D28" s="15">
        <f>IF(NOT(ISBLANK($A28)),SUM(B$3:B28)-SUM(C$3:C28),"")</f>
        <v>600.5799999999997</v>
      </c>
      <c r="E28" s="5"/>
      <c r="F28" s="12">
        <v>103.45</v>
      </c>
      <c r="G28" s="15">
        <f>IF(NOT(ISBLANK($A28)),SUM(E$3:E28)-SUM(F$3:F28),"")</f>
        <v>-297.38000000000011</v>
      </c>
      <c r="H28" s="6" t="b">
        <v>1</v>
      </c>
      <c r="I28" s="17"/>
      <c r="J28" s="6" t="s">
        <v>42</v>
      </c>
      <c r="K28" s="120">
        <f>IF(NOT(ISBLANK(A28)),SUMIF($J$3:$J28,$J28,$B$3:$B28)-SUMIF($J$3:$J28,$J28,$C$3:$C28)+IF(J28&lt;&gt;"Transfer",SUMIF($J$3:$J28,$J28,$F$3:$F28)-SUMIF($J$3:$J28,$J28,$E$3:$E28),0),"")</f>
        <v>103.45</v>
      </c>
      <c r="L28" s="19" t="s">
        <v>16</v>
      </c>
    </row>
    <row r="29" spans="1:12" customFormat="1" x14ac:dyDescent="0.25">
      <c r="A29" s="9">
        <v>42906</v>
      </c>
      <c r="B29" s="5"/>
      <c r="C29" s="12">
        <v>103.45</v>
      </c>
      <c r="D29" s="15">
        <f>IF(NOT(ISBLANK($A29)),SUM(B$3:B29)-SUM(C$3:C29),"")</f>
        <v>497.12999999999965</v>
      </c>
      <c r="E29" s="5">
        <v>103.45</v>
      </c>
      <c r="F29" s="12"/>
      <c r="G29" s="15">
        <f>IF(NOT(ISBLANK($A29)),SUM(E$3:E29)-SUM(F$3:F29),"")</f>
        <v>-193.93000000000006</v>
      </c>
      <c r="H29" s="6"/>
      <c r="I29" s="17"/>
      <c r="J29" s="6" t="s">
        <v>18</v>
      </c>
      <c r="K29" s="120">
        <f>IF(NOT(ISBLANK(A29)),SUMIF($J$3:$J29,$J29,$B$3:$B29)-SUMIF($J$3:$J29,$J29,$C$3:$C29)+IF(J29&lt;&gt;"Transfer",SUMIF($J$3:$J29,$J29,$F$3:$F29)-SUMIF($J$3:$J29,$J29,$E$3:$E29),0),"")</f>
        <v>-1225.45</v>
      </c>
      <c r="L29" s="19"/>
    </row>
    <row r="30" spans="1:12" customFormat="1" x14ac:dyDescent="0.25">
      <c r="A30" s="10">
        <v>42908</v>
      </c>
      <c r="B30" s="7"/>
      <c r="C30" s="13"/>
      <c r="D30" s="16">
        <f>IF(NOT(ISBLANK($A30)),SUM(B$3:B30)-SUM(C$3:C30),"")</f>
        <v>497.12999999999965</v>
      </c>
      <c r="E30" s="7"/>
      <c r="F30" s="13">
        <v>51.51</v>
      </c>
      <c r="G30" s="16">
        <f>IF(NOT(ISBLANK($A30)),SUM(E$3:E30)-SUM(F$3:F30),"")</f>
        <v>-245.44000000000005</v>
      </c>
      <c r="H30" s="8" t="b">
        <v>1</v>
      </c>
      <c r="I30" s="18">
        <v>58926</v>
      </c>
      <c r="J30" s="8" t="s">
        <v>10</v>
      </c>
      <c r="K30" s="107">
        <f>IF(NOT(ISBLANK(A30)),SUMIF($J$3:$J30,$J30,$B$3:$B30)-SUMIF($J$3:$J30,$J30,$C$3:$C30)+IF(J30&lt;&gt;"Transfer",SUMIF($J$3:$J30,$J30,$F$3:$F30)-SUMIF($J$3:$J30,$J30,$E$3:$E30),0),"")</f>
        <v>128.42000000000002</v>
      </c>
      <c r="L30" s="20"/>
    </row>
    <row r="31" spans="1:12" customFormat="1" x14ac:dyDescent="0.25">
      <c r="A31" s="10">
        <v>42909</v>
      </c>
      <c r="B31" s="7"/>
      <c r="C31" s="13">
        <v>51.51</v>
      </c>
      <c r="D31" s="16">
        <f>IF(NOT(ISBLANK($A31)),SUM(B$3:B31)-SUM(C$3:C31),"")</f>
        <v>445.61999999999966</v>
      </c>
      <c r="E31" s="7">
        <v>51.51</v>
      </c>
      <c r="F31" s="13"/>
      <c r="G31" s="16">
        <f>IF(NOT(ISBLANK($A31)),SUM(E$3:E31)-SUM(F$3:F31),"")</f>
        <v>-193.93000000000006</v>
      </c>
      <c r="H31" s="8"/>
      <c r="I31" s="18"/>
      <c r="J31" s="8" t="s">
        <v>18</v>
      </c>
      <c r="K31" s="107">
        <f>IF(NOT(ISBLANK(A31)),SUMIF($J$3:$J31,$J31,$B$3:$B31)-SUMIF($J$3:$J31,$J31,$C$3:$C31)+IF(J31&lt;&gt;"Transfer",SUMIF($J$3:$J31,$J31,$F$3:$F31)-SUMIF($J$3:$J31,$J31,$E$3:$E31),0),"")</f>
        <v>-1276.96</v>
      </c>
      <c r="L31" s="20" t="s">
        <v>10</v>
      </c>
    </row>
    <row r="32" spans="1:12" customFormat="1" x14ac:dyDescent="0.25">
      <c r="A32" s="10">
        <v>42909</v>
      </c>
      <c r="B32" s="7"/>
      <c r="C32" s="13"/>
      <c r="D32" s="16">
        <f>IF(NOT(ISBLANK($A32)),SUM(B$3:B32)-SUM(C$3:C32),"")</f>
        <v>445.61999999999966</v>
      </c>
      <c r="E32" s="7"/>
      <c r="F32" s="13">
        <v>311.88</v>
      </c>
      <c r="G32" s="16">
        <f>IF(NOT(ISBLANK($A32)),SUM(E$3:E32)-SUM(F$3:F32),"")</f>
        <v>-505.81000000000017</v>
      </c>
      <c r="H32" s="8" t="b">
        <v>1</v>
      </c>
      <c r="I32" s="18">
        <v>58988</v>
      </c>
      <c r="J32" s="8" t="s">
        <v>29</v>
      </c>
      <c r="K32" s="107">
        <f>IF(NOT(ISBLANK(A32)),SUMIF($J$3:$J32,$J32,$B$3:$B32)-SUMIF($J$3:$J32,$J32,$C$3:$C32)+IF(J32&lt;&gt;"Transfer",SUMIF($J$3:$J32,$J32,$F$3:$F32)-SUMIF($J$3:$J32,$J32,$E$3:$E32),0),"")</f>
        <v>311.88</v>
      </c>
      <c r="L32" s="20" t="s">
        <v>30</v>
      </c>
    </row>
    <row r="33" spans="1:12" customFormat="1" x14ac:dyDescent="0.25">
      <c r="A33" s="9">
        <v>42915</v>
      </c>
      <c r="B33" s="5"/>
      <c r="C33" s="12">
        <v>222.42</v>
      </c>
      <c r="D33" s="15">
        <f>IF(NOT(ISBLANK($A33)),SUM(B$3:B33)-SUM(C$3:C33),"")</f>
        <v>223.19999999999959</v>
      </c>
      <c r="E33" s="5"/>
      <c r="F33" s="12"/>
      <c r="G33" s="15">
        <f>IF(NOT(ISBLANK($A33)),SUM(E$3:E33)-SUM(F$3:F33),"")</f>
        <v>-505.81000000000017</v>
      </c>
      <c r="H33" s="6"/>
      <c r="I33" s="17"/>
      <c r="J33" s="6" t="s">
        <v>14</v>
      </c>
      <c r="K33" s="120">
        <f>IF(NOT(ISBLANK(A33)),SUMIF($J$3:$J33,$J33,$B$3:$B33)-SUMIF($J$3:$J33,$J33,$C$3:$C33)+IF(J33&lt;&gt;"Transfer",SUMIF($J$3:$J33,$J33,$F$3:$F33)-SUMIF($J$3:$J33,$J33,$E$3:$E33),0),"")</f>
        <v>555.16000000000008</v>
      </c>
      <c r="L33" s="19"/>
    </row>
    <row r="34" spans="1:12" customFormat="1" x14ac:dyDescent="0.25">
      <c r="A34" s="9">
        <v>42915</v>
      </c>
      <c r="B34" s="5"/>
      <c r="C34" s="12">
        <v>5</v>
      </c>
      <c r="D34" s="15">
        <f>IF(NOT(ISBLANK($A34)),SUM(B$3:B34)-SUM(C$3:C34),"")</f>
        <v>218.19999999999959</v>
      </c>
      <c r="E34" s="5"/>
      <c r="F34" s="12"/>
      <c r="G34" s="15">
        <f>IF(NOT(ISBLANK($A34)),SUM(E$3:E34)-SUM(F$3:F34),"")</f>
        <v>-505.81000000000017</v>
      </c>
      <c r="H34" s="6"/>
      <c r="I34" s="17"/>
      <c r="J34" s="6" t="s">
        <v>15</v>
      </c>
      <c r="K34" s="120">
        <f>IF(NOT(ISBLANK(A34)),SUMIF($J$3:$J34,$J34,$B$3:$B34)-SUMIF($J$3:$J34,$J34,$C$3:$C34)+IF(J34&lt;&gt;"Transfer",SUMIF($J$3:$J34,$J34,$F$3:$F34)-SUMIF($J$3:$J34,$J34,$E$3:$E34),0),"")</f>
        <v>-10</v>
      </c>
      <c r="L34" s="19"/>
    </row>
    <row r="35" spans="1:12" customFormat="1" x14ac:dyDescent="0.25">
      <c r="A35" s="9">
        <v>42920</v>
      </c>
      <c r="B35" s="5">
        <v>400</v>
      </c>
      <c r="C35" s="12"/>
      <c r="D35" s="15">
        <f>IF(NOT(ISBLANK($A35)),SUM(B$3:B35)-SUM(C$3:C35),"")</f>
        <v>618.19999999999959</v>
      </c>
      <c r="E35" s="5"/>
      <c r="F35" s="12"/>
      <c r="G35" s="15">
        <f>IF(NOT(ISBLANK($A35)),SUM(E$3:E35)-SUM(F$3:F35),"")</f>
        <v>-505.81000000000017</v>
      </c>
      <c r="H35" s="6"/>
      <c r="I35" s="17"/>
      <c r="J35" s="6" t="s">
        <v>9</v>
      </c>
      <c r="K35" s="120">
        <f>IF(NOT(ISBLANK(A35)),SUMIF($J$3:$J35,$J35,$B$3:$B35)-SUMIF($J$3:$J35,$J35,$C$3:$C35)+IF(J35&lt;&gt;"Transfer",SUMIF($J$3:$J35,$J35,$F$3:$F35)-SUMIF($J$3:$J35,$J35,$E$3:$E35),0),"")</f>
        <v>2588.62</v>
      </c>
      <c r="L35" s="19"/>
    </row>
    <row r="36" spans="1:12" customFormat="1" x14ac:dyDescent="0.25">
      <c r="A36" s="10">
        <v>42920</v>
      </c>
      <c r="B36" s="7">
        <v>0.22</v>
      </c>
      <c r="C36" s="13"/>
      <c r="D36" s="16">
        <f>IF(NOT(ISBLANK($A36)),SUM(B$3:B36)-SUM(C$3:C36),"")</f>
        <v>618.41999999999939</v>
      </c>
      <c r="E36" s="7"/>
      <c r="F36" s="13"/>
      <c r="G36" s="16">
        <f>IF(NOT(ISBLANK($A36)),SUM(E$3:E36)-SUM(F$3:F36),"")</f>
        <v>-505.81000000000017</v>
      </c>
      <c r="H36" s="8"/>
      <c r="I36" s="18"/>
      <c r="J36" s="8" t="s">
        <v>9</v>
      </c>
      <c r="K36" s="107">
        <f>IF(NOT(ISBLANK(A36)),SUMIF($J$3:$J36,$J36,$B$3:$B36)-SUMIF($J$3:$J36,$J36,$C$3:$C36)+IF(J36&lt;&gt;"Transfer",SUMIF($J$3:$J36,$J36,$F$3:$F36)-SUMIF($J$3:$J36,$J36,$E$3:$E36),0),"")</f>
        <v>2588.8399999999997</v>
      </c>
      <c r="L36" s="20" t="s">
        <v>37</v>
      </c>
    </row>
    <row r="37" spans="1:12" customFormat="1" x14ac:dyDescent="0.25">
      <c r="A37" s="10">
        <v>42920</v>
      </c>
      <c r="B37" s="7"/>
      <c r="C37" s="13">
        <v>577.52</v>
      </c>
      <c r="D37" s="16">
        <f>IF(NOT(ISBLANK($A37)),SUM(B$3:B37)-SUM(C$3:C37),"")</f>
        <v>40.899999999999181</v>
      </c>
      <c r="E37" s="7">
        <v>577.52</v>
      </c>
      <c r="F37" s="13"/>
      <c r="G37" s="16">
        <f>IF(NOT(ISBLANK($A37)),SUM(E$3:E37)-SUM(F$3:F37),"")</f>
        <v>71.709999999999809</v>
      </c>
      <c r="H37" s="8"/>
      <c r="I37" s="18"/>
      <c r="J37" s="8" t="s">
        <v>18</v>
      </c>
      <c r="K37" s="107">
        <f>IF(NOT(ISBLANK(A37)),SUMIF($J$3:$J37,$J37,$B$3:$B37)-SUMIF($J$3:$J37,$J37,$C$3:$C37)+IF(J37&lt;&gt;"Transfer",SUMIF($J$3:$J37,$J37,$F$3:$F37)-SUMIF($J$3:$J37,$J37,$E$3:$E37),0),"")</f>
        <v>-1854.48</v>
      </c>
      <c r="L37" s="20"/>
    </row>
    <row r="38" spans="1:12" customFormat="1" x14ac:dyDescent="0.25">
      <c r="A38" s="10">
        <v>42922</v>
      </c>
      <c r="B38" s="7">
        <v>10</v>
      </c>
      <c r="C38" s="13"/>
      <c r="D38" s="16">
        <f>IF(NOT(ISBLANK($A38)),SUM(B$3:B38)-SUM(C$3:C38),"")</f>
        <v>50.899999999999181</v>
      </c>
      <c r="E38" s="7"/>
      <c r="F38" s="13"/>
      <c r="G38" s="16">
        <f>IF(NOT(ISBLANK($A38)),SUM(E$3:E38)-SUM(F$3:F38),"")</f>
        <v>71.709999999999809</v>
      </c>
      <c r="H38" s="8"/>
      <c r="I38" s="18"/>
      <c r="J38" s="8" t="s">
        <v>15</v>
      </c>
      <c r="K38" s="107">
        <f>IF(NOT(ISBLANK(A38)),SUMIF($J$3:$J38,$J38,$B$3:$B38)-SUMIF($J$3:$J38,$J38,$C$3:$C38)+IF(J38&lt;&gt;"Transfer",SUMIF($J$3:$J38,$J38,$F$3:$F38)-SUMIF($J$3:$J38,$J38,$E$3:$E38),0),"")</f>
        <v>0</v>
      </c>
      <c r="L38" s="20" t="s">
        <v>24</v>
      </c>
    </row>
    <row r="39" spans="1:12" customFormat="1" x14ac:dyDescent="0.25">
      <c r="A39" s="9">
        <v>42927</v>
      </c>
      <c r="B39" s="5">
        <v>200</v>
      </c>
      <c r="C39" s="12"/>
      <c r="D39" s="15">
        <f>IF(NOT(ISBLANK($A39)),SUM(B$3:B39)-SUM(C$3:C39),"")</f>
        <v>250.89999999999918</v>
      </c>
      <c r="E39" s="5"/>
      <c r="F39" s="12"/>
      <c r="G39" s="15">
        <f>IF(NOT(ISBLANK($A39)),SUM(E$3:E39)-SUM(F$3:F39),"")</f>
        <v>71.709999999999809</v>
      </c>
      <c r="H39" s="6"/>
      <c r="I39" s="17"/>
      <c r="J39" s="6" t="s">
        <v>9</v>
      </c>
      <c r="K39" s="120">
        <f>IF(NOT(ISBLANK(A39)),SUMIF($J$3:$J39,$J39,$B$3:$B39)-SUMIF($J$3:$J39,$J39,$C$3:$C39)+IF(J39&lt;&gt;"Transfer",SUMIF($J$3:$J39,$J39,$F$3:$F39)-SUMIF($J$3:$J39,$J39,$E$3:$E39),0),"")</f>
        <v>2788.8399999999997</v>
      </c>
      <c r="L39" s="19" t="s">
        <v>25</v>
      </c>
    </row>
    <row r="40" spans="1:12" customFormat="1" x14ac:dyDescent="0.25">
      <c r="A40" s="9">
        <v>42910</v>
      </c>
      <c r="B40" s="5"/>
      <c r="C40" s="12"/>
      <c r="D40" s="15">
        <f>IF(NOT(ISBLANK($A40)),SUM(B$3:B40)-SUM(C$3:C40),"")</f>
        <v>250.89999999999918</v>
      </c>
      <c r="E40" s="5"/>
      <c r="F40" s="12">
        <v>56.01</v>
      </c>
      <c r="G40" s="15">
        <f>IF(NOT(ISBLANK($A40)),SUM(E$3:E40)-SUM(F$3:F40),"")</f>
        <v>15.699999999999818</v>
      </c>
      <c r="H40" s="6" t="b">
        <v>1</v>
      </c>
      <c r="I40" s="17">
        <v>59541</v>
      </c>
      <c r="J40" s="6" t="s">
        <v>10</v>
      </c>
      <c r="K40" s="120">
        <f>IF(NOT(ISBLANK(A40)),SUMIF($J$3:$J40,$J40,$B$3:$B40)-SUMIF($J$3:$J40,$J40,$C$3:$C40)+IF(J40&lt;&gt;"Transfer",SUMIF($J$3:$J40,$J40,$F$3:$F40)-SUMIF($J$3:$J40,$J40,$E$3:$E40),0),"")</f>
        <v>184.43</v>
      </c>
      <c r="L40" s="19"/>
    </row>
    <row r="41" spans="1:12" customFormat="1" x14ac:dyDescent="0.25">
      <c r="A41" s="9">
        <v>42911</v>
      </c>
      <c r="B41" s="5"/>
      <c r="C41" s="12"/>
      <c r="D41" s="15">
        <f>IF(NOT(ISBLANK($A41)),SUM(B$3:B41)-SUM(C$3:C41),"")</f>
        <v>250.89999999999918</v>
      </c>
      <c r="E41" s="5"/>
      <c r="F41" s="12">
        <v>1.5</v>
      </c>
      <c r="G41" s="15">
        <f>IF(NOT(ISBLANK($A41)),SUM(E$3:E41)-SUM(F$3:F41),"")</f>
        <v>14.199999999999818</v>
      </c>
      <c r="H41" s="6"/>
      <c r="I41" s="17"/>
      <c r="J41" s="6" t="s">
        <v>28</v>
      </c>
      <c r="K41" s="120">
        <f>IF(NOT(ISBLANK(A41)),SUMIF($J$3:$J41,$J41,$B$3:$B41)-SUMIF($J$3:$J41,$J41,$C$3:$C41)+IF(J41&lt;&gt;"Transfer",SUMIF($J$3:$J41,$J41,$F$3:$F41)-SUMIF($J$3:$J41,$J41,$E$3:$E41),0),"")</f>
        <v>12</v>
      </c>
      <c r="L41" s="19"/>
    </row>
    <row r="42" spans="1:12" customFormat="1" x14ac:dyDescent="0.25">
      <c r="A42" s="10">
        <v>42914</v>
      </c>
      <c r="B42" s="7"/>
      <c r="C42" s="13"/>
      <c r="D42" s="16">
        <f>IF(NOT(ISBLANK($A42)),SUM(B$3:B42)-SUM(C$3:C42),"")</f>
        <v>250.89999999999918</v>
      </c>
      <c r="E42" s="7"/>
      <c r="F42" s="13">
        <v>63.74</v>
      </c>
      <c r="G42" s="16">
        <f>IF(NOT(ISBLANK($A42)),SUM(E$3:E42)-SUM(F$3:F42),"")</f>
        <v>-49.540000000000191</v>
      </c>
      <c r="H42" s="8" t="b">
        <v>1</v>
      </c>
      <c r="I42" s="18">
        <v>60207</v>
      </c>
      <c r="J42" s="8" t="s">
        <v>10</v>
      </c>
      <c r="K42" s="107">
        <f>IF(NOT(ISBLANK(A42)),SUMIF($J$3:$J42,$J42,$B$3:$B42)-SUMIF($J$3:$J42,$J42,$C$3:$C42)+IF(J42&lt;&gt;"Transfer",SUMIF($J$3:$J42,$J42,$F$3:$F42)-SUMIF($J$3:$J42,$J42,$E$3:$E42),0),"")</f>
        <v>248.17000000000002</v>
      </c>
      <c r="L42" s="20" t="s">
        <v>31</v>
      </c>
    </row>
    <row r="43" spans="1:12" customFormat="1" x14ac:dyDescent="0.25">
      <c r="A43" s="10">
        <v>42915</v>
      </c>
      <c r="B43" s="7"/>
      <c r="C43" s="13"/>
      <c r="D43" s="16">
        <f>IF(NOT(ISBLANK($A43)),SUM(B$3:B43)-SUM(C$3:C43),"")</f>
        <v>250.89999999999918</v>
      </c>
      <c r="E43" s="7"/>
      <c r="F43" s="13">
        <v>33</v>
      </c>
      <c r="G43" s="16">
        <f>IF(NOT(ISBLANK($A43)),SUM(E$3:E43)-SUM(F$3:F43),"")</f>
        <v>-82.540000000000191</v>
      </c>
      <c r="H43" s="8" t="b">
        <v>1</v>
      </c>
      <c r="I43" s="18">
        <v>60464</v>
      </c>
      <c r="J43" s="8" t="s">
        <v>10</v>
      </c>
      <c r="K43" s="107">
        <f>IF(NOT(ISBLANK(A43)),SUMIF($J$3:$J43,$J43,$B$3:$B43)-SUMIF($J$3:$J43,$J43,$C$3:$C43)+IF(J43&lt;&gt;"Transfer",SUMIF($J$3:$J43,$J43,$F$3:$F43)-SUMIF($J$3:$J43,$J43,$E$3:$E43),0),"")</f>
        <v>281.17</v>
      </c>
      <c r="L43" s="20"/>
    </row>
    <row r="44" spans="1:12" customFormat="1" x14ac:dyDescent="0.25">
      <c r="A44" s="10">
        <v>42916</v>
      </c>
      <c r="B44" s="7"/>
      <c r="C44" s="13"/>
      <c r="D44" s="16">
        <f>IF(NOT(ISBLANK($A44)),SUM(B$3:B44)-SUM(C$3:C44),"")</f>
        <v>250.89999999999918</v>
      </c>
      <c r="E44" s="7"/>
      <c r="F44" s="13">
        <v>20.329999999999998</v>
      </c>
      <c r="G44" s="16">
        <f>IF(NOT(ISBLANK($A44)),SUM(E$3:E44)-SUM(F$3:F44),"")</f>
        <v>-102.87000000000012</v>
      </c>
      <c r="H44" s="8"/>
      <c r="I44" s="18"/>
      <c r="J44" s="8" t="s">
        <v>26</v>
      </c>
      <c r="K44" s="107">
        <f>IF(NOT(ISBLANK(A44)),SUMIF($J$3:$J44,$J44,$B$3:$B44)-SUMIF($J$3:$J44,$J44,$C$3:$C44)+IF(J44&lt;&gt;"Transfer",SUMIF($J$3:$J44,$J44,$F$3:$F44)-SUMIF($J$3:$J44,$J44,$E$3:$E44),0),"")</f>
        <v>121.22</v>
      </c>
      <c r="L44" s="20" t="s">
        <v>32</v>
      </c>
    </row>
    <row r="45" spans="1:12" customFormat="1" x14ac:dyDescent="0.25">
      <c r="A45" s="9">
        <v>42918</v>
      </c>
      <c r="B45" s="5"/>
      <c r="C45" s="12"/>
      <c r="D45" s="15">
        <f>IF(NOT(ISBLANK($A45)),SUM(B$3:B45)-SUM(C$3:C45),"")</f>
        <v>250.89999999999918</v>
      </c>
      <c r="E45" s="5"/>
      <c r="F45" s="12">
        <v>3</v>
      </c>
      <c r="G45" s="15">
        <f>IF(NOT(ISBLANK($A45)),SUM(E$3:E45)-SUM(F$3:F45),"")</f>
        <v>-105.87000000000012</v>
      </c>
      <c r="H45" s="6"/>
      <c r="I45" s="17"/>
      <c r="J45" s="6" t="s">
        <v>28</v>
      </c>
      <c r="K45" s="120">
        <f>IF(NOT(ISBLANK(A45)),SUMIF($J$3:$J45,$J45,$B$3:$B45)-SUMIF($J$3:$J45,$J45,$C$3:$C45)+IF(J45&lt;&gt;"Transfer",SUMIF($J$3:$J45,$J45,$F$3:$F45)-SUMIF($J$3:$J45,$J45,$E$3:$E45),0),"")</f>
        <v>15</v>
      </c>
      <c r="L45" s="19"/>
    </row>
    <row r="46" spans="1:12" customFormat="1" x14ac:dyDescent="0.25">
      <c r="A46" s="9">
        <v>42918</v>
      </c>
      <c r="B46" s="5"/>
      <c r="C46" s="12"/>
      <c r="D46" s="15">
        <f>IF(NOT(ISBLANK($A46)),SUM(B$3:B46)-SUM(C$3:C46),"")</f>
        <v>250.89999999999918</v>
      </c>
      <c r="E46" s="5"/>
      <c r="F46" s="12">
        <v>3</v>
      </c>
      <c r="G46" s="15">
        <f>IF(NOT(ISBLANK($A46)),SUM(E$3:E46)-SUM(F$3:F46),"")</f>
        <v>-108.87000000000012</v>
      </c>
      <c r="H46" s="6"/>
      <c r="I46" s="17"/>
      <c r="J46" s="6" t="s">
        <v>28</v>
      </c>
      <c r="K46" s="120">
        <f>IF(NOT(ISBLANK(A46)),SUMIF($J$3:$J46,$J46,$B$3:$B46)-SUMIF($J$3:$J46,$J46,$C$3:$C46)+IF(J46&lt;&gt;"Transfer",SUMIF($J$3:$J46,$J46,$F$3:$F46)-SUMIF($J$3:$J46,$J46,$E$3:$E46),0),"")</f>
        <v>18</v>
      </c>
      <c r="L46" s="19"/>
    </row>
    <row r="47" spans="1:12" customFormat="1" x14ac:dyDescent="0.25">
      <c r="A47" s="9">
        <v>42918</v>
      </c>
      <c r="B47" s="5"/>
      <c r="C47" s="12"/>
      <c r="D47" s="15">
        <f>IF(NOT(ISBLANK($A47)),SUM(B$3:B47)-SUM(C$3:C47),"")</f>
        <v>250.89999999999918</v>
      </c>
      <c r="E47" s="5"/>
      <c r="F47" s="12">
        <v>3</v>
      </c>
      <c r="G47" s="15">
        <f>IF(NOT(ISBLANK($A47)),SUM(E$3:E47)-SUM(F$3:F47),"")</f>
        <v>-111.87000000000012</v>
      </c>
      <c r="H47" s="6" t="b">
        <v>1</v>
      </c>
      <c r="I47" s="17"/>
      <c r="J47" s="6" t="s">
        <v>28</v>
      </c>
      <c r="K47" s="120">
        <f>IF(NOT(ISBLANK(A47)),SUMIF($J$3:$J47,$J47,$B$3:$B47)-SUMIF($J$3:$J47,$J47,$C$3:$C47)+IF(J47&lt;&gt;"Transfer",SUMIF($J$3:$J47,$J47,$F$3:$F47)-SUMIF($J$3:$J47,$J47,$E$3:$E47),0),"")</f>
        <v>21</v>
      </c>
      <c r="L47" s="19"/>
    </row>
    <row r="48" spans="1:12" customFormat="1" x14ac:dyDescent="0.25">
      <c r="A48" s="10">
        <v>42920</v>
      </c>
      <c r="B48" s="7"/>
      <c r="C48" s="13"/>
      <c r="D48" s="16">
        <f>IF(NOT(ISBLANK($A48)),SUM(B$3:B48)-SUM(C$3:C48),"")</f>
        <v>250.89999999999918</v>
      </c>
      <c r="E48" s="7"/>
      <c r="F48" s="13">
        <v>112.89</v>
      </c>
      <c r="G48" s="16">
        <f>IF(NOT(ISBLANK($A48)),SUM(E$3:E48)-SUM(F$3:F48),"")</f>
        <v>-224.76</v>
      </c>
      <c r="H48" s="8" t="b">
        <v>1</v>
      </c>
      <c r="I48" s="18"/>
      <c r="J48" s="8" t="s">
        <v>29</v>
      </c>
      <c r="K48" s="107">
        <f>IF(NOT(ISBLANK(A48)),SUMIF($J$3:$J48,$J48,$B$3:$B48)-SUMIF($J$3:$J48,$J48,$C$3:$C48)+IF(J48&lt;&gt;"Transfer",SUMIF($J$3:$J48,$J48,$F$3:$F48)-SUMIF($J$3:$J48,$J48,$E$3:$E48),0),"")</f>
        <v>424.77</v>
      </c>
      <c r="L48" s="20" t="s">
        <v>33</v>
      </c>
    </row>
    <row r="49" spans="1:12" customFormat="1" x14ac:dyDescent="0.25">
      <c r="A49" s="10">
        <v>42921</v>
      </c>
      <c r="B49" s="7"/>
      <c r="C49" s="13"/>
      <c r="D49" s="16">
        <f>IF(NOT(ISBLANK($A49)),SUM(B$3:B49)-SUM(C$3:C49),"")</f>
        <v>250.89999999999918</v>
      </c>
      <c r="E49" s="7"/>
      <c r="F49" s="13">
        <v>63.26</v>
      </c>
      <c r="G49" s="16">
        <f>IF(NOT(ISBLANK($A49)),SUM(E$3:E49)-SUM(F$3:F49),"")</f>
        <v>-288.02000000000021</v>
      </c>
      <c r="H49" s="8" t="b">
        <v>1</v>
      </c>
      <c r="I49" s="18">
        <v>61058</v>
      </c>
      <c r="J49" s="8" t="s">
        <v>10</v>
      </c>
      <c r="K49" s="107">
        <f>IF(NOT(ISBLANK(A49)),SUMIF($J$3:$J49,$J49,$B$3:$B49)-SUMIF($J$3:$J49,$J49,$C$3:$C49)+IF(J49&lt;&gt;"Transfer",SUMIF($J$3:$J49,$J49,$F$3:$F49)-SUMIF($J$3:$J49,$J49,$E$3:$E49),0),"")</f>
        <v>344.43</v>
      </c>
      <c r="L49" s="20"/>
    </row>
    <row r="50" spans="1:12" customFormat="1" x14ac:dyDescent="0.25">
      <c r="A50" s="10">
        <v>42927</v>
      </c>
      <c r="B50" s="7"/>
      <c r="C50" s="13"/>
      <c r="D50" s="16">
        <f>IF(NOT(ISBLANK($A50)),SUM(B$3:B50)-SUM(C$3:C50),"")</f>
        <v>250.89999999999918</v>
      </c>
      <c r="E50" s="7"/>
      <c r="F50" s="13">
        <v>6</v>
      </c>
      <c r="G50" s="16">
        <f>IF(NOT(ISBLANK($A50)),SUM(E$3:E50)-SUM(F$3:F50),"")</f>
        <v>-294.02000000000021</v>
      </c>
      <c r="H50" s="8"/>
      <c r="I50" s="18"/>
      <c r="J50" s="8" t="s">
        <v>28</v>
      </c>
      <c r="K50" s="107">
        <f>IF(NOT(ISBLANK(A50)),SUMIF($J$3:$J50,$J50,$B$3:$B50)-SUMIF($J$3:$J50,$J50,$C$3:$C50)+IF(J50&lt;&gt;"Transfer",SUMIF($J$3:$J50,$J50,$F$3:$F50)-SUMIF($J$3:$J50,$J50,$E$3:$E50),0),"")</f>
        <v>27</v>
      </c>
      <c r="L50" s="20"/>
    </row>
    <row r="51" spans="1:12" ht="15.75" thickBot="1" x14ac:dyDescent="0.3">
      <c r="A51" s="22">
        <v>42928</v>
      </c>
      <c r="B51" s="26"/>
      <c r="C51" s="27"/>
      <c r="D51" s="28">
        <f>IF(NOT(ISBLANK($A51)),SUM(B$3:B51)-SUM(C$3:C51),"")</f>
        <v>250.89999999999918</v>
      </c>
      <c r="E51" s="26"/>
      <c r="F51" s="27">
        <v>1294.98</v>
      </c>
      <c r="G51" s="28">
        <f>IF(NOT(ISBLANK($A51)),SUM(E$3:E51)-SUM(F$3:F51),"")</f>
        <v>-1589.0000000000002</v>
      </c>
      <c r="H51" s="23" t="b">
        <v>1</v>
      </c>
      <c r="I51" s="24">
        <v>61420</v>
      </c>
      <c r="J51" s="23" t="s">
        <v>29</v>
      </c>
      <c r="K51" s="121">
        <f>IF(NOT(ISBLANK(A51)),SUMIF($J$3:$J51,$J51,$B$3:$B51)-SUMIF($J$3:$J51,$J51,$C$3:$C51)+IF(J51&lt;&gt;"Transfer",SUMIF($J$3:$J51,$J51,$F$3:$F51)-SUMIF($J$3:$J51,$J51,$E$3:$E51),0),"")</f>
        <v>1719.75</v>
      </c>
      <c r="L51" s="25" t="s">
        <v>34</v>
      </c>
    </row>
    <row r="52" spans="1:12" customFormat="1" x14ac:dyDescent="0.25">
      <c r="A52" s="9">
        <v>42929</v>
      </c>
      <c r="B52" s="5"/>
      <c r="C52" s="12">
        <v>222.42</v>
      </c>
      <c r="D52" s="15">
        <f>IF(NOT(ISBLANK($A52)),SUM(B$3:B52)-SUM(C$3:C52),"")</f>
        <v>28.479999999999109</v>
      </c>
      <c r="E52" s="5"/>
      <c r="F52" s="12"/>
      <c r="G52" s="15">
        <f>IF(NOT(ISBLANK($A52)),SUM(E$3:E52)-SUM(F$3:F52),"")</f>
        <v>-1589.0000000000002</v>
      </c>
      <c r="H52" s="6"/>
      <c r="I52" s="17"/>
      <c r="J52" s="6" t="s">
        <v>14</v>
      </c>
      <c r="K52" s="120">
        <f>IF(NOT(ISBLANK(A52)),SUMIF($J$3:$J52,$J52,$B$3:$B52)-SUMIF($J$3:$J52,$J52,$C$3:$C52)+IF(J52&lt;&gt;"Transfer",SUMIF($J$3:$J52,$J52,$F$3:$F52)-SUMIF($J$3:$J52,$J52,$E$3:$E52),0),"")</f>
        <v>332.74</v>
      </c>
      <c r="L52" s="19"/>
    </row>
    <row r="53" spans="1:12" customFormat="1" x14ac:dyDescent="0.25">
      <c r="A53" s="9">
        <v>42929</v>
      </c>
      <c r="B53" s="5"/>
      <c r="C53" s="12">
        <v>5</v>
      </c>
      <c r="D53" s="15">
        <f>IF(NOT(ISBLANK($A53)),SUM(B$3:B53)-SUM(C$3:C53),"")</f>
        <v>23.479999999999109</v>
      </c>
      <c r="E53" s="5"/>
      <c r="F53" s="12"/>
      <c r="G53" s="15">
        <f>IF(NOT(ISBLANK($A53)),SUM(E$3:E53)-SUM(F$3:F53),"")</f>
        <v>-1589.0000000000002</v>
      </c>
      <c r="H53" s="6"/>
      <c r="I53" s="17"/>
      <c r="J53" s="6" t="s">
        <v>15</v>
      </c>
      <c r="K53" s="120">
        <f>IF(NOT(ISBLANK(A53)),SUMIF($J$3:$J53,$J53,$B$3:$B53)-SUMIF($J$3:$J53,$J53,$C$3:$C53)+IF(J53&lt;&gt;"Transfer",SUMIF($J$3:$J53,$J53,$F$3:$F53)-SUMIF($J$3:$J53,$J53,$E$3:$E53),0),"")</f>
        <v>-5</v>
      </c>
      <c r="L53" s="19"/>
    </row>
    <row r="54" spans="1:12" customFormat="1" x14ac:dyDescent="0.25">
      <c r="A54" s="10">
        <v>42930</v>
      </c>
      <c r="B54" s="7"/>
      <c r="C54" s="13"/>
      <c r="D54" s="16">
        <f>IF(NOT(ISBLANK($A54)),SUM(B$3:B54)-SUM(C$3:C54),"")</f>
        <v>23.479999999999109</v>
      </c>
      <c r="E54" s="7"/>
      <c r="F54" s="13">
        <v>58</v>
      </c>
      <c r="G54" s="16">
        <f>IF(NOT(ISBLANK($A54)),SUM(E$3:E54)-SUM(F$3:F54),"")</f>
        <v>-1647.0000000000002</v>
      </c>
      <c r="H54" s="8" t="b">
        <v>1</v>
      </c>
      <c r="I54" s="18">
        <v>61505</v>
      </c>
      <c r="J54" s="8" t="s">
        <v>10</v>
      </c>
      <c r="K54" s="107">
        <f>IF(NOT(ISBLANK(A54)),SUMIF($J$3:$J54,$J54,$B$3:$B54)-SUMIF($J$3:$J54,$J54,$C$3:$C54)+IF(J54&lt;&gt;"Transfer",SUMIF($J$3:$J54,$J54,$F$3:$F54)-SUMIF($J$3:$J54,$J54,$E$3:$E54),0),"")</f>
        <v>402.43</v>
      </c>
      <c r="L54" s="20"/>
    </row>
    <row r="55" spans="1:12" customFormat="1" x14ac:dyDescent="0.25">
      <c r="A55" s="10">
        <v>42933</v>
      </c>
      <c r="B55" s="7">
        <v>450</v>
      </c>
      <c r="C55" s="13"/>
      <c r="D55" s="16">
        <f>IF(NOT(ISBLANK($A55)),SUM(B$3:B55)-SUM(C$3:C55),"")</f>
        <v>473.47999999999911</v>
      </c>
      <c r="E55" s="7"/>
      <c r="F55" s="13"/>
      <c r="G55" s="16">
        <f>IF(NOT(ISBLANK($A55)),SUM(E$3:E55)-SUM(F$3:F55),"")</f>
        <v>-1647.0000000000002</v>
      </c>
      <c r="H55" s="8"/>
      <c r="I55" s="18"/>
      <c r="J55" s="8" t="s">
        <v>9</v>
      </c>
      <c r="K55" s="107">
        <f>IF(NOT(ISBLANK(A55)),SUMIF($J$3:$J55,$J55,$B$3:$B55)-SUMIF($J$3:$J55,$J55,$C$3:$C55)+IF(J55&lt;&gt;"Transfer",SUMIF($J$3:$J55,$J55,$F$3:$F55)-SUMIF($J$3:$J55,$J55,$E$3:$E55),0),"")</f>
        <v>3238.8399999999997</v>
      </c>
      <c r="L55" s="20"/>
    </row>
    <row r="56" spans="1:12" customFormat="1" x14ac:dyDescent="0.25">
      <c r="A56" s="10">
        <v>42935</v>
      </c>
      <c r="B56" s="7"/>
      <c r="C56" s="13"/>
      <c r="D56" s="16">
        <f>IF(NOT(ISBLANK($A56)),SUM(B$3:B56)-SUM(C$3:C56),"")</f>
        <v>473.47999999999911</v>
      </c>
      <c r="E56" s="7"/>
      <c r="F56" s="13">
        <v>71.37</v>
      </c>
      <c r="G56" s="16">
        <f>IF(NOT(ISBLANK($A56)),SUM(E$3:E56)-SUM(F$3:F56),"")</f>
        <v>-1718.3700000000001</v>
      </c>
      <c r="H56" s="8" t="b">
        <v>1</v>
      </c>
      <c r="I56" s="18">
        <v>62197</v>
      </c>
      <c r="J56" s="8" t="s">
        <v>10</v>
      </c>
      <c r="K56" s="107">
        <f>IF(NOT(ISBLANK(A56)),SUMIF($J$3:$J56,$J56,$B$3:$B56)-SUMIF($J$3:$J56,$J56,$C$3:$C56)+IF(J56&lt;&gt;"Transfer",SUMIF($J$3:$J56,$J56,$F$3:$F56)-SUMIF($J$3:$J56,$J56,$E$3:$E56),0),"")</f>
        <v>473.80000000000007</v>
      </c>
      <c r="L56" s="20"/>
    </row>
    <row r="57" spans="1:12" customFormat="1" x14ac:dyDescent="0.25">
      <c r="A57" s="9">
        <v>42941</v>
      </c>
      <c r="B57" s="5"/>
      <c r="C57" s="12"/>
      <c r="D57" s="15">
        <f>IF(NOT(ISBLANK($A57)),SUM(B$3:B57)-SUM(C$3:C57),"")</f>
        <v>473.47999999999911</v>
      </c>
      <c r="E57" s="5"/>
      <c r="F57" s="12">
        <v>70.5</v>
      </c>
      <c r="G57" s="15">
        <f>IF(NOT(ISBLANK($A57)),SUM(E$3:E57)-SUM(F$3:F57),"")</f>
        <v>-1788.8700000000001</v>
      </c>
      <c r="H57" s="6" t="b">
        <v>1</v>
      </c>
      <c r="I57" s="17">
        <v>62862</v>
      </c>
      <c r="J57" s="6" t="s">
        <v>10</v>
      </c>
      <c r="K57" s="120">
        <f>IF(NOT(ISBLANK(A57)),SUMIF($J$3:$J57,$J57,$B$3:$B57)-SUMIF($J$3:$J57,$J57,$C$3:$C57)+IF(J57&lt;&gt;"Transfer",SUMIF($J$3:$J57,$J57,$F$3:$F57)-SUMIF($J$3:$J57,$J57,$E$3:$E57),0),"")</f>
        <v>544.30000000000007</v>
      </c>
      <c r="L57" s="19"/>
    </row>
    <row r="58" spans="1:12" customFormat="1" x14ac:dyDescent="0.25">
      <c r="A58" s="9">
        <v>42942</v>
      </c>
      <c r="B58" s="5"/>
      <c r="C58" s="12"/>
      <c r="D58" s="15">
        <f>IF(NOT(ISBLANK($A58)),SUM(B$3:B58)-SUM(C$3:C58),"")</f>
        <v>473.47999999999911</v>
      </c>
      <c r="E58" s="5"/>
      <c r="F58" s="12">
        <v>8.5</v>
      </c>
      <c r="G58" s="15">
        <f>IF(NOT(ISBLANK($A58)),SUM(E$3:E58)-SUM(F$3:F58),"")</f>
        <v>-1797.3700000000001</v>
      </c>
      <c r="H58" s="6" t="b">
        <v>1</v>
      </c>
      <c r="I58" s="17"/>
      <c r="J58" s="6" t="s">
        <v>28</v>
      </c>
      <c r="K58" s="120">
        <f>IF(NOT(ISBLANK(A58)),SUMIF($J$3:$J58,$J58,$B$3:$B58)-SUMIF($J$3:$J58,$J58,$C$3:$C58)+IF(J58&lt;&gt;"Transfer",SUMIF($J$3:$J58,$J58,$F$3:$F58)-SUMIF($J$3:$J58,$J58,$E$3:$E58),0),"")</f>
        <v>35.5</v>
      </c>
      <c r="L58" s="19"/>
    </row>
    <row r="59" spans="1:12" customFormat="1" x14ac:dyDescent="0.25">
      <c r="A59" s="9">
        <v>42943</v>
      </c>
      <c r="B59" s="5">
        <v>1000</v>
      </c>
      <c r="C59" s="12"/>
      <c r="D59" s="15">
        <f>IF(NOT(ISBLANK($A59)),SUM(B$3:B59)-SUM(C$3:C59),"")</f>
        <v>1473.4799999999996</v>
      </c>
      <c r="E59" s="5"/>
      <c r="F59" s="12"/>
      <c r="G59" s="15">
        <f>IF(NOT(ISBLANK($A59)),SUM(E$3:E59)-SUM(F$3:F59),"")</f>
        <v>-1797.3700000000001</v>
      </c>
      <c r="H59" s="6"/>
      <c r="I59" s="17"/>
      <c r="J59" s="6" t="s">
        <v>9</v>
      </c>
      <c r="K59" s="120">
        <f>IF(NOT(ISBLANK(A59)),SUMIF($J$3:$J59,$J59,$B$3:$B59)-SUMIF($J$3:$J59,$J59,$C$3:$C59)+IF(J59&lt;&gt;"Transfer",SUMIF($J$3:$J59,$J59,$F$3:$F59)-SUMIF($J$3:$J59,$J59,$E$3:$E59),0),"")</f>
        <v>4238.84</v>
      </c>
      <c r="L59" s="19"/>
    </row>
    <row r="60" spans="1:12" customFormat="1" x14ac:dyDescent="0.25">
      <c r="A60" s="10">
        <v>42943</v>
      </c>
      <c r="B60" s="7"/>
      <c r="C60" s="13"/>
      <c r="D60" s="16">
        <f>IF(NOT(ISBLANK($A60)),SUM(B$3:B60)-SUM(C$3:C60),"")</f>
        <v>1473.4799999999996</v>
      </c>
      <c r="E60" s="7">
        <v>168.09</v>
      </c>
      <c r="F60" s="13"/>
      <c r="G60" s="16">
        <f>IF(NOT(ISBLANK($A60)),SUM(E$3:E60)-SUM(F$3:F60),"")</f>
        <v>-1629.2800000000002</v>
      </c>
      <c r="H60" s="8"/>
      <c r="I60" s="18"/>
      <c r="J60" s="8" t="s">
        <v>18</v>
      </c>
      <c r="K60" s="107">
        <f>IF(NOT(ISBLANK(A60)),SUMIF($J$3:$J60,$J60,$B$3:$B60)-SUMIF($J$3:$J60,$J60,$C$3:$C60)+IF(J60&lt;&gt;"Transfer",SUMIF($J$3:$J60,$J60,$F$3:$F60)-SUMIF($J$3:$J60,$J60,$E$3:$E60),0),"")</f>
        <v>-1854.48</v>
      </c>
      <c r="L60" s="20" t="s">
        <v>41</v>
      </c>
    </row>
    <row r="61" spans="1:12" customFormat="1" x14ac:dyDescent="0.25">
      <c r="A61" s="10">
        <v>42943</v>
      </c>
      <c r="B61" s="7"/>
      <c r="C61" s="13">
        <v>1000</v>
      </c>
      <c r="D61" s="16">
        <f>IF(NOT(ISBLANK($A61)),SUM(B$3:B61)-SUM(C$3:C61),"")</f>
        <v>473.47999999999956</v>
      </c>
      <c r="E61" s="7">
        <v>1000</v>
      </c>
      <c r="F61" s="13"/>
      <c r="G61" s="16">
        <f>IF(NOT(ISBLANK($A61)),SUM(E$3:E61)-SUM(F$3:F61),"")</f>
        <v>-629.2800000000002</v>
      </c>
      <c r="H61" s="8"/>
      <c r="I61" s="18"/>
      <c r="J61" s="8" t="s">
        <v>18</v>
      </c>
      <c r="K61" s="107">
        <f>IF(NOT(ISBLANK(A61)),SUMIF($J$3:$J61,$J61,$B$3:$B61)-SUMIF($J$3:$J61,$J61,$C$3:$C61)+IF(J61&lt;&gt;"Transfer",SUMIF($J$3:$J61,$J61,$F$3:$F61)-SUMIF($J$3:$J61,$J61,$E$3:$E61),0),"")</f>
        <v>-2854.48</v>
      </c>
      <c r="L61" s="20"/>
    </row>
    <row r="62" spans="1:12" customFormat="1" x14ac:dyDescent="0.25">
      <c r="A62" s="10">
        <v>42943</v>
      </c>
      <c r="B62" s="7"/>
      <c r="C62" s="13">
        <v>222.42</v>
      </c>
      <c r="D62" s="16">
        <f>IF(NOT(ISBLANK($A62)),SUM(B$3:B62)-SUM(C$3:C62),"")</f>
        <v>251.05999999999949</v>
      </c>
      <c r="E62" s="7"/>
      <c r="F62" s="13"/>
      <c r="G62" s="16">
        <f>IF(NOT(ISBLANK($A62)),SUM(E$3:E62)-SUM(F$3:F62),"")</f>
        <v>-629.2800000000002</v>
      </c>
      <c r="H62" s="8"/>
      <c r="I62" s="18"/>
      <c r="J62" s="8" t="s">
        <v>14</v>
      </c>
      <c r="K62" s="107">
        <f>IF(NOT(ISBLANK(A62)),SUMIF($J$3:$J62,$J62,$B$3:$B62)-SUMIF($J$3:$J62,$J62,$C$3:$C62)+IF(J62&lt;&gt;"Transfer",SUMIF($J$3:$J62,$J62,$F$3:$F62)-SUMIF($J$3:$J62,$J62,$E$3:$E62),0),"")</f>
        <v>110.32000000000005</v>
      </c>
      <c r="L62" s="20"/>
    </row>
    <row r="63" spans="1:12" customFormat="1" x14ac:dyDescent="0.25">
      <c r="A63" s="9">
        <v>42944</v>
      </c>
      <c r="B63" s="5"/>
      <c r="C63" s="12"/>
      <c r="D63" s="15">
        <f>IF(NOT(ISBLANK($A63)),SUM(B$3:B63)-SUM(C$3:C63),"")</f>
        <v>251.05999999999949</v>
      </c>
      <c r="E63" s="5"/>
      <c r="F63" s="12">
        <v>37.28</v>
      </c>
      <c r="G63" s="15">
        <f>IF(NOT(ISBLANK($A63)),SUM(E$3:E63)-SUM(F$3:F63),"")</f>
        <v>-666.5600000000004</v>
      </c>
      <c r="H63" s="6" t="b">
        <v>1</v>
      </c>
      <c r="I63" s="17">
        <v>63575</v>
      </c>
      <c r="J63" s="6" t="s">
        <v>39</v>
      </c>
      <c r="K63" s="120">
        <f>IF(NOT(ISBLANK(A63)),SUMIF($J$3:$J63,$J63,$B$3:$B63)-SUMIF($J$3:$J63,$J63,$C$3:$C63)+IF(J63&lt;&gt;"Transfer",SUMIF($J$3:$J63,$J63,$F$3:$F63)-SUMIF($J$3:$J63,$J63,$E$3:$E63),0),"")</f>
        <v>37.28</v>
      </c>
      <c r="L63" s="19"/>
    </row>
    <row r="64" spans="1:12" customFormat="1" x14ac:dyDescent="0.25">
      <c r="A64" s="9">
        <v>42945</v>
      </c>
      <c r="B64" s="5"/>
      <c r="C64" s="12"/>
      <c r="D64" s="15">
        <f>IF(NOT(ISBLANK($A64)),SUM(B$3:B64)-SUM(C$3:C64),"")</f>
        <v>251.05999999999949</v>
      </c>
      <c r="E64" s="5"/>
      <c r="F64" s="12">
        <v>68</v>
      </c>
      <c r="G64" s="15">
        <f>IF(NOT(ISBLANK($A64)),SUM(E$3:E64)-SUM(F$3:F64),"")</f>
        <v>-734.5600000000004</v>
      </c>
      <c r="H64" s="6" t="b">
        <v>1</v>
      </c>
      <c r="I64" s="17">
        <v>63615</v>
      </c>
      <c r="J64" s="6" t="s">
        <v>10</v>
      </c>
      <c r="K64" s="120">
        <f>IF(NOT(ISBLANK(A64)),SUMIF($J$3:$J64,$J64,$B$3:$B64)-SUMIF($J$3:$J64,$J64,$C$3:$C64)+IF(J64&lt;&gt;"Transfer",SUMIF($J$3:$J64,$J64,$F$3:$F64)-SUMIF($J$3:$J64,$J64,$E$3:$E64),0),"")</f>
        <v>612.30000000000007</v>
      </c>
      <c r="L64" s="19"/>
    </row>
    <row r="65" spans="1:12" customFormat="1" x14ac:dyDescent="0.25">
      <c r="A65" s="9">
        <v>42947</v>
      </c>
      <c r="B65" s="5">
        <v>450</v>
      </c>
      <c r="C65" s="12"/>
      <c r="D65" s="15">
        <f>IF(NOT(ISBLANK($A65)),SUM(B$3:B65)-SUM(C$3:C65),"")</f>
        <v>701.05999999999949</v>
      </c>
      <c r="E65" s="5"/>
      <c r="F65" s="12"/>
      <c r="G65" s="15">
        <f>IF(NOT(ISBLANK($A65)),SUM(E$3:E65)-SUM(F$3:F65),"")</f>
        <v>-734.5600000000004</v>
      </c>
      <c r="H65" s="6"/>
      <c r="I65" s="17"/>
      <c r="J65" s="6" t="s">
        <v>9</v>
      </c>
      <c r="K65" s="120">
        <f>IF(NOT(ISBLANK(A65)),SUMIF($J$3:$J65,$J65,$B$3:$B65)-SUMIF($J$3:$J65,$J65,$C$3:$C65)+IF(J65&lt;&gt;"Transfer",SUMIF($J$3:$J65,$J65,$F$3:$F65)-SUMIF($J$3:$J65,$J65,$E$3:$E65),0),"")</f>
        <v>4688.84</v>
      </c>
      <c r="L65" s="19"/>
    </row>
    <row r="66" spans="1:12" customFormat="1" x14ac:dyDescent="0.25">
      <c r="A66" s="10">
        <v>42953</v>
      </c>
      <c r="B66" s="7"/>
      <c r="C66" s="13"/>
      <c r="D66" s="16">
        <f>IF(NOT(ISBLANK($A66)),SUM(B$3:B66)-SUM(C$3:C66),"")</f>
        <v>701.05999999999949</v>
      </c>
      <c r="E66" s="7"/>
      <c r="F66" s="13">
        <v>74.680000000000007</v>
      </c>
      <c r="G66" s="16">
        <f>IF(NOT(ISBLANK($A66)),SUM(E$3:E66)-SUM(F$3:F66),"")</f>
        <v>-809.24000000000024</v>
      </c>
      <c r="H66" s="8" t="b">
        <v>1</v>
      </c>
      <c r="I66" s="18">
        <v>64251</v>
      </c>
      <c r="J66" s="8" t="s">
        <v>10</v>
      </c>
      <c r="K66" s="107">
        <f>IF(NOT(ISBLANK(A66)),SUMIF($J$3:$J66,$J66,$B$3:$B66)-SUMIF($J$3:$J66,$J66,$C$3:$C66)+IF(J66&lt;&gt;"Transfer",SUMIF($J$3:$J66,$J66,$F$3:$F66)-SUMIF($J$3:$J66,$J66,$E$3:$E66),0),"")</f>
        <v>686.98000000000013</v>
      </c>
      <c r="L66" s="20" t="s">
        <v>31</v>
      </c>
    </row>
    <row r="67" spans="1:12" customFormat="1" x14ac:dyDescent="0.25">
      <c r="A67" s="10">
        <v>42955</v>
      </c>
      <c r="B67" s="7"/>
      <c r="C67" s="13">
        <v>82.97</v>
      </c>
      <c r="D67" s="16">
        <f>IF(NOT(ISBLANK($A67)),SUM(B$3:B67)-SUM(C$3:C67),"")</f>
        <v>618.08999999999969</v>
      </c>
      <c r="E67" s="7"/>
      <c r="F67" s="13"/>
      <c r="G67" s="16">
        <f>IF(NOT(ISBLANK($A67)),SUM(E$3:E67)-SUM(F$3:F67),"")</f>
        <v>-809.24000000000024</v>
      </c>
      <c r="H67" s="8"/>
      <c r="I67" s="18"/>
      <c r="J67" s="8" t="s">
        <v>13</v>
      </c>
      <c r="K67" s="107">
        <f>IF(NOT(ISBLANK(A67)),SUMIF($J$3:$J67,$J67,$B$3:$B67)-SUMIF($J$3:$J67,$J67,$C$3:$C67)+IF(J67&lt;&gt;"Transfer",SUMIF($J$3:$J67,$J67,$F$3:$F67)-SUMIF($J$3:$J67,$J67,$E$3:$E67),0),"")</f>
        <v>-165.94</v>
      </c>
      <c r="L67" s="20"/>
    </row>
    <row r="68" spans="1:12" customFormat="1" x14ac:dyDescent="0.25">
      <c r="A68" s="10">
        <v>42956</v>
      </c>
      <c r="B68" s="7"/>
      <c r="C68" s="13"/>
      <c r="D68" s="16">
        <f>IF(NOT(ISBLANK($A68)),SUM(B$3:B68)-SUM(C$3:C68),"")</f>
        <v>618.08999999999969</v>
      </c>
      <c r="E68" s="7"/>
      <c r="F68" s="13">
        <v>33</v>
      </c>
      <c r="G68" s="16">
        <f>IF(NOT(ISBLANK($A68)),SUM(E$3:E68)-SUM(F$3:F68),"")</f>
        <v>-842.24000000000024</v>
      </c>
      <c r="H68" s="8" t="b">
        <v>1</v>
      </c>
      <c r="I68" s="18"/>
      <c r="J68" s="8" t="s">
        <v>42</v>
      </c>
      <c r="K68" s="107">
        <f>IF(NOT(ISBLANK(A68)),SUMIF($J$3:$J68,$J68,$B$3:$B68)-SUMIF($J$3:$J68,$J68,$C$3:$C68)+IF(J68&lt;&gt;"Transfer",SUMIF($J$3:$J68,$J68,$F$3:$F68)-SUMIF($J$3:$J68,$J68,$E$3:$E68),0),"")</f>
        <v>136.44999999999999</v>
      </c>
      <c r="L68" s="20" t="s">
        <v>43</v>
      </c>
    </row>
    <row r="69" spans="1:12" customFormat="1" x14ac:dyDescent="0.25">
      <c r="A69" s="9">
        <v>42957</v>
      </c>
      <c r="B69" s="5"/>
      <c r="C69" s="12">
        <v>355.93</v>
      </c>
      <c r="D69" s="15">
        <f>IF(NOT(ISBLANK($A69)),SUM(B$3:B69)-SUM(C$3:C69),"")</f>
        <v>262.15999999999985</v>
      </c>
      <c r="E69" s="5"/>
      <c r="F69" s="12"/>
      <c r="G69" s="15">
        <f>IF(NOT(ISBLANK($A69)),SUM(E$3:E69)-SUM(F$3:F69),"")</f>
        <v>-842.24000000000024</v>
      </c>
      <c r="H69" s="6" t="b">
        <v>1</v>
      </c>
      <c r="I69" s="17"/>
      <c r="J69" s="6" t="s">
        <v>38</v>
      </c>
      <c r="K69" s="120">
        <f>IF(NOT(ISBLANK(A69)),SUMIF($J$3:$J69,$J69,$B$3:$B69)-SUMIF($J$3:$J69,$J69,$C$3:$C69)+IF(J69&lt;&gt;"Transfer",SUMIF($J$3:$J69,$J69,$F$3:$F69)-SUMIF($J$3:$J69,$J69,$E$3:$E69),0),"")</f>
        <v>-355.93</v>
      </c>
      <c r="L69" s="19" t="s">
        <v>40</v>
      </c>
    </row>
    <row r="70" spans="1:12" customFormat="1" x14ac:dyDescent="0.25">
      <c r="A70" s="9">
        <v>42957</v>
      </c>
      <c r="B70" s="5"/>
      <c r="C70" s="12">
        <v>351.77</v>
      </c>
      <c r="D70" s="15">
        <f>IF(NOT(ISBLANK($A70)),SUM(B$3:B70)-SUM(C$3:C70),"")</f>
        <v>-89.610000000000582</v>
      </c>
      <c r="E70" s="5">
        <v>351.77</v>
      </c>
      <c r="F70" s="12"/>
      <c r="G70" s="15">
        <f>IF(NOT(ISBLANK($A70)),SUM(E$3:E70)-SUM(F$3:F70),"")</f>
        <v>-490.47000000000025</v>
      </c>
      <c r="H70" s="6"/>
      <c r="I70" s="17"/>
      <c r="J70" s="6" t="s">
        <v>18</v>
      </c>
      <c r="K70" s="120">
        <f>IF(NOT(ISBLANK(A70)),SUMIF($J$3:$J70,$J70,$B$3:$B70)-SUMIF($J$3:$J70,$J70,$C$3:$C70)+IF(J70&lt;&gt;"Transfer",SUMIF($J$3:$J70,$J70,$F$3:$F70)-SUMIF($J$3:$J70,$J70,$E$3:$E70),0),"")</f>
        <v>-3206.25</v>
      </c>
      <c r="L70" s="19"/>
    </row>
    <row r="71" spans="1:12" customFormat="1" x14ac:dyDescent="0.25">
      <c r="A71" s="9">
        <v>42957</v>
      </c>
      <c r="B71" s="5">
        <v>400</v>
      </c>
      <c r="C71" s="12"/>
      <c r="D71" s="15">
        <f>IF(NOT(ISBLANK($A71)),SUM(B$3:B71)-SUM(C$3:C71),"")</f>
        <v>310.38999999999942</v>
      </c>
      <c r="E71" s="5"/>
      <c r="F71" s="12"/>
      <c r="G71" s="15">
        <f>IF(NOT(ISBLANK($A71)),SUM(E$3:E71)-SUM(F$3:F71),"")</f>
        <v>-490.47000000000025</v>
      </c>
      <c r="H71" s="6"/>
      <c r="I71" s="17"/>
      <c r="J71" s="6" t="s">
        <v>9</v>
      </c>
      <c r="K71" s="120">
        <f>IF(NOT(ISBLANK(A71)),SUMIF($J$3:$J71,$J71,$B$3:$B71)-SUMIF($J$3:$J71,$J71,$C$3:$C71)+IF(J71&lt;&gt;"Transfer",SUMIF($J$3:$J71,$J71,$F$3:$F71)-SUMIF($J$3:$J71,$J71,$E$3:$E71),0),"")</f>
        <v>5088.84</v>
      </c>
      <c r="L71" s="19"/>
    </row>
    <row r="72" spans="1:12" customFormat="1" x14ac:dyDescent="0.25">
      <c r="A72" s="10">
        <v>42957</v>
      </c>
      <c r="B72" s="7"/>
      <c r="C72" s="13">
        <v>5</v>
      </c>
      <c r="D72" s="16">
        <f>IF(NOT(ISBLANK($A72)),SUM(B$3:B72)-SUM(C$3:C72),"")</f>
        <v>305.38999999999942</v>
      </c>
      <c r="E72" s="7"/>
      <c r="F72" s="13"/>
      <c r="G72" s="16">
        <f>IF(NOT(ISBLANK($A72)),SUM(E$3:E72)-SUM(F$3:F72),"")</f>
        <v>-490.47000000000025</v>
      </c>
      <c r="H72" s="8" t="b">
        <v>1</v>
      </c>
      <c r="I72" s="18"/>
      <c r="J72" s="8" t="s">
        <v>28</v>
      </c>
      <c r="K72" s="107">
        <f>IF(NOT(ISBLANK(A72)),SUMIF($J$3:$J72,$J72,$B$3:$B72)-SUMIF($J$3:$J72,$J72,$C$3:$C72)+IF(J72&lt;&gt;"Transfer",SUMIF($J$3:$J72,$J72,$F$3:$F72)-SUMIF($J$3:$J72,$J72,$E$3:$E72),0),"")</f>
        <v>30.5</v>
      </c>
      <c r="L72" s="20" t="s">
        <v>44</v>
      </c>
    </row>
    <row r="73" spans="1:12" customFormat="1" x14ac:dyDescent="0.25">
      <c r="A73" s="10">
        <v>42957</v>
      </c>
      <c r="B73" s="7"/>
      <c r="C73" s="13">
        <v>222.42</v>
      </c>
      <c r="D73" s="16">
        <f>IF(NOT(ISBLANK($A73)),SUM(B$3:B73)-SUM(C$3:C73),"")</f>
        <v>82.969999999999345</v>
      </c>
      <c r="E73" s="7"/>
      <c r="F73" s="13"/>
      <c r="G73" s="16">
        <f>IF(NOT(ISBLANK($A73)),SUM(E$3:E73)-SUM(F$3:F73),"")</f>
        <v>-490.47000000000025</v>
      </c>
      <c r="H73" s="8"/>
      <c r="I73" s="18"/>
      <c r="J73" s="8" t="s">
        <v>14</v>
      </c>
      <c r="K73" s="107">
        <f>IF(NOT(ISBLANK(A73)),SUMIF($J$3:$J73,$J73,$B$3:$B73)-SUMIF($J$3:$J73,$J73,$C$3:$C73)+IF(J73&lt;&gt;"Transfer",SUMIF($J$3:$J73,$J73,$F$3:$F73)-SUMIF($J$3:$J73,$J73,$E$3:$E73),0),"")</f>
        <v>-112.09999999999991</v>
      </c>
      <c r="L73" s="20"/>
    </row>
    <row r="74" spans="1:12" customFormat="1" x14ac:dyDescent="0.25">
      <c r="A74" s="10">
        <v>42962</v>
      </c>
      <c r="B74" s="7">
        <v>450</v>
      </c>
      <c r="C74" s="13"/>
      <c r="D74" s="16">
        <f>IF(NOT(ISBLANK($A74)),SUM(B$3:B75)-SUM(C$3:C75),"")</f>
        <v>532.96999999999935</v>
      </c>
      <c r="E74" s="7"/>
      <c r="F74" s="13"/>
      <c r="G74" s="16">
        <f>IF(NOT(ISBLANK($A74)),SUM(E$3:E75)-SUM(F$3:F75),"")</f>
        <v>-678.05000000000018</v>
      </c>
      <c r="H74" s="8"/>
      <c r="I74" s="18"/>
      <c r="J74" s="8" t="s">
        <v>9</v>
      </c>
      <c r="K74" s="107">
        <f>IF(NOT(ISBLANK(A74)),SUMIF($J$3:$J74,$J74,$B$3:$B74)-SUMIF($J$3:$J74,$J74,$C$3:$C74)+IF(J74&lt;&gt;"Transfer",SUMIF($J$3:$J74,$J74,$F$3:$F74)-SUMIF($J$3:$J74,$J74,$E$3:$E74),0),"")</f>
        <v>5538.84</v>
      </c>
      <c r="L74" s="20"/>
    </row>
    <row r="75" spans="1:12" customFormat="1" x14ac:dyDescent="0.25">
      <c r="A75" s="9">
        <v>42964</v>
      </c>
      <c r="B75" s="5"/>
      <c r="C75" s="12"/>
      <c r="D75" s="15">
        <f>IF(NOT(ISBLANK($A75)),SUM(B$3:B75)-SUM(C$3:C75),"")</f>
        <v>532.96999999999935</v>
      </c>
      <c r="E75" s="5"/>
      <c r="F75" s="12">
        <v>187.58</v>
      </c>
      <c r="G75" s="15">
        <f>IF(NOT(ISBLANK($A75)),SUM(E$3:E75)-SUM(F$3:F75),"")</f>
        <v>-678.05000000000018</v>
      </c>
      <c r="H75" s="6" t="b">
        <v>1</v>
      </c>
      <c r="I75" s="17">
        <v>64493</v>
      </c>
      <c r="J75" s="6" t="s">
        <v>45</v>
      </c>
      <c r="K75" s="120">
        <f>IF(NOT(ISBLANK(A75)),SUMIF($J$3:$J75,$J75,$B$3:$B75)-SUMIF($J$3:$J75,$J75,$C$3:$C75)+IF(J75&lt;&gt;"Transfer",SUMIF($J$3:$J75,$J75,$F$3:$F75)-SUMIF($J$3:$J75,$J75,$E$3:$E75),0),"")</f>
        <v>187.58</v>
      </c>
      <c r="L75" s="19"/>
    </row>
    <row r="76" spans="1:12" customFormat="1" x14ac:dyDescent="0.25">
      <c r="A76" s="9">
        <v>42963</v>
      </c>
      <c r="B76" s="5"/>
      <c r="C76" s="12"/>
      <c r="D76" s="15">
        <f>IF(NOT(ISBLANK($A76)),SUM(B$3:B76)-SUM(C$3:C76),"")</f>
        <v>532.96999999999935</v>
      </c>
      <c r="E76" s="5"/>
      <c r="F76" s="12">
        <v>52.66</v>
      </c>
      <c r="G76" s="15">
        <f>IF(NOT(ISBLANK($A76)),SUM(E$3:E76)-SUM(F$3:F76),"")</f>
        <v>-730.71000000000049</v>
      </c>
      <c r="H76" s="6" t="b">
        <v>1</v>
      </c>
      <c r="I76" s="17">
        <v>64709</v>
      </c>
      <c r="J76" s="6" t="s">
        <v>10</v>
      </c>
      <c r="K76" s="120">
        <f>IF(NOT(ISBLANK(A76)),SUMIF($J$3:$J76,$J76,$B$3:$B76)-SUMIF($J$3:$J76,$J76,$C$3:$C76)+IF(J76&lt;&gt;"Transfer",SUMIF($J$3:$J76,$J76,$F$3:$F76)-SUMIF($J$3:$J76,$J76,$E$3:$E76),0),"")</f>
        <v>739.6400000000001</v>
      </c>
      <c r="L76" s="19"/>
    </row>
    <row r="77" spans="1:12" customFormat="1" x14ac:dyDescent="0.25">
      <c r="A77" s="9">
        <v>42970</v>
      </c>
      <c r="B77" s="5"/>
      <c r="C77" s="12"/>
      <c r="D77" s="15">
        <f>IF(NOT(ISBLANK($A77)),SUM(B$3:B77)-SUM(C$3:C77),"")</f>
        <v>532.96999999999935</v>
      </c>
      <c r="E77" s="5"/>
      <c r="F77" s="12">
        <v>0.36</v>
      </c>
      <c r="G77" s="15">
        <f>IF(NOT(ISBLANK($A77)),SUM(E$3:E77)-SUM(F$3:F77),"")</f>
        <v>-731.07000000000016</v>
      </c>
      <c r="H77" s="6" t="b">
        <v>1</v>
      </c>
      <c r="I77" s="17">
        <v>65220</v>
      </c>
      <c r="J77" s="6" t="s">
        <v>10</v>
      </c>
      <c r="K77" s="120">
        <f>IF(NOT(ISBLANK(A77)),SUMIF($J$3:$J77,$J77,$B$3:$B77)-SUMIF($J$3:$J77,$J77,$C$3:$C77)+IF(J77&lt;&gt;"Transfer",SUMIF($J$3:$J77,$J77,$F$3:$F77)-SUMIF($J$3:$J77,$J77,$E$3:$E77),0),"")</f>
        <v>740.00000000000011</v>
      </c>
      <c r="L77" s="19"/>
    </row>
    <row r="78" spans="1:12" customFormat="1" x14ac:dyDescent="0.25">
      <c r="A78" s="10">
        <v>42970</v>
      </c>
      <c r="B78" s="7"/>
      <c r="C78" s="13"/>
      <c r="D78" s="16">
        <f>IF(NOT(ISBLANK($A78)),SUM(B$3:B78)-SUM(C$3:C78),"")</f>
        <v>532.96999999999935</v>
      </c>
      <c r="E78" s="7"/>
      <c r="F78" s="13">
        <v>53</v>
      </c>
      <c r="G78" s="16">
        <f>IF(NOT(ISBLANK($A78)),SUM(E$3:E78)-SUM(F$3:F78),"")</f>
        <v>-784.07000000000016</v>
      </c>
      <c r="H78" s="8" t="b">
        <v>1</v>
      </c>
      <c r="I78" s="18">
        <v>65220</v>
      </c>
      <c r="J78" s="8" t="s">
        <v>10</v>
      </c>
      <c r="K78" s="107">
        <f>IF(NOT(ISBLANK(A78)),SUMIF($J$3:$J78,$J78,$B$3:$B78)-SUMIF($J$3:$J78,$J78,$C$3:$C78)+IF(J78&lt;&gt;"Transfer",SUMIF($J$3:$J78,$J78,$F$3:$F78)-SUMIF($J$3:$J78,$J78,$E$3:$E78),0),"")</f>
        <v>793.00000000000011</v>
      </c>
      <c r="L78" s="20"/>
    </row>
    <row r="79" spans="1:12" customFormat="1" x14ac:dyDescent="0.25">
      <c r="A79" s="10">
        <v>42970</v>
      </c>
      <c r="B79" s="7"/>
      <c r="C79" s="13"/>
      <c r="D79" s="16">
        <f>IF(NOT(ISBLANK($A79)),SUM(B$3:B79)-SUM(C$3:C79),"")</f>
        <v>532.96999999999935</v>
      </c>
      <c r="E79" s="7"/>
      <c r="F79" s="13">
        <v>13.52</v>
      </c>
      <c r="G79" s="16">
        <f>IF(NOT(ISBLANK($A79)),SUM(E$3:E79)-SUM(F$3:F79),"")</f>
        <v>-797.5900000000006</v>
      </c>
      <c r="H79" s="8" t="b">
        <v>1</v>
      </c>
      <c r="I79" s="18">
        <v>65764</v>
      </c>
      <c r="J79" s="8" t="s">
        <v>10</v>
      </c>
      <c r="K79" s="107">
        <f>IF(NOT(ISBLANK(A79)),SUMIF($J$3:$J79,$J79,$B$3:$B79)-SUMIF($J$3:$J79,$J79,$C$3:$C79)+IF(J79&lt;&gt;"Transfer",SUMIF($J$3:$J79,$J79,$F$3:$F79)-SUMIF($J$3:$J79,$J79,$E$3:$E79),0),"")</f>
        <v>806.5200000000001</v>
      </c>
      <c r="L79" s="20"/>
    </row>
    <row r="80" spans="1:12" customFormat="1" x14ac:dyDescent="0.25">
      <c r="A80" s="10">
        <v>42970</v>
      </c>
      <c r="B80" s="7"/>
      <c r="C80" s="13"/>
      <c r="D80" s="16">
        <f>IF(NOT(ISBLANK($A80)),SUM(B$3:B80)-SUM(C$3:C80),"")</f>
        <v>532.96999999999935</v>
      </c>
      <c r="E80" s="7"/>
      <c r="F80" s="13">
        <v>13.63</v>
      </c>
      <c r="G80" s="16">
        <f>IF(NOT(ISBLANK($A80)),SUM(E$3:E80)-SUM(F$3:F80),"")</f>
        <v>-811.22000000000071</v>
      </c>
      <c r="H80" s="8" t="b">
        <v>1</v>
      </c>
      <c r="I80" s="18">
        <v>65764</v>
      </c>
      <c r="J80" s="8" t="s">
        <v>10</v>
      </c>
      <c r="K80" s="107">
        <f>IF(NOT(ISBLANK(A80)),SUMIF($J$3:$J80,$J80,$B$3:$B80)-SUMIF($J$3:$J80,$J80,$C$3:$C80)+IF(J80&lt;&gt;"Transfer",SUMIF($J$3:$J80,$J80,$F$3:$F80)-SUMIF($J$3:$J80,$J80,$E$3:$E80),0),"")</f>
        <v>820.15000000000009</v>
      </c>
      <c r="L80" s="20"/>
    </row>
    <row r="81" spans="1:12" customFormat="1" x14ac:dyDescent="0.25">
      <c r="A81" s="9">
        <v>42971</v>
      </c>
      <c r="B81" s="5"/>
      <c r="C81" s="12">
        <v>222.42</v>
      </c>
      <c r="D81" s="15">
        <f>IF(NOT(ISBLANK($A81)),SUM(B$3:B81)-SUM(C$3:C81),"")</f>
        <v>310.54999999999927</v>
      </c>
      <c r="E81" s="5"/>
      <c r="F81" s="12"/>
      <c r="G81" s="15">
        <f>IF(NOT(ISBLANK($A81)),SUM(E$3:E81)-SUM(F$3:F81),"")</f>
        <v>-811.22000000000071</v>
      </c>
      <c r="H81" s="6"/>
      <c r="I81" s="17"/>
      <c r="J81" s="6" t="s">
        <v>14</v>
      </c>
      <c r="K81" s="120">
        <f>IF(NOT(ISBLANK(A81)),SUMIF($J$3:$J81,$J81,$B$3:$B81)-SUMIF($J$3:$J81,$J81,$C$3:$C81)+IF(J81&lt;&gt;"Transfer",SUMIF($J$3:$J81,$J81,$F$3:$F81)-SUMIF($J$3:$J81,$J81,$E$3:$E81),0),"")</f>
        <v>-334.52</v>
      </c>
      <c r="L81" s="19"/>
    </row>
    <row r="82" spans="1:12" customFormat="1" x14ac:dyDescent="0.25">
      <c r="A82" s="9">
        <v>42974</v>
      </c>
      <c r="B82" s="5"/>
      <c r="C82" s="12"/>
      <c r="D82" s="15">
        <f>IF(NOT(ISBLANK($A82)),SUM(B$3:B82)-SUM(C$3:C82),"")</f>
        <v>310.54999999999927</v>
      </c>
      <c r="E82" s="5"/>
      <c r="F82" s="12">
        <v>38.4</v>
      </c>
      <c r="G82" s="15">
        <f>IF(NOT(ISBLANK($A82)),SUM(E$3:E82)-SUM(F$3:F82),"")</f>
        <v>-849.62000000000035</v>
      </c>
      <c r="H82" s="6" t="b">
        <v>1</v>
      </c>
      <c r="I82" s="17">
        <v>65764</v>
      </c>
      <c r="J82" s="6" t="s">
        <v>10</v>
      </c>
      <c r="K82" s="120">
        <f>IF(NOT(ISBLANK(A82)),SUMIF($J$3:$J82,$J82,$B$3:$B82)-SUMIF($J$3:$J82,$J82,$C$3:$C82)+IF(J82&lt;&gt;"Transfer",SUMIF($J$3:$J82,$J82,$F$3:$F82)-SUMIF($J$3:$J82,$J82,$E$3:$E82),0),"")</f>
        <v>858.55000000000007</v>
      </c>
      <c r="L82" s="19" t="str">
        <f>"Car wash portion:"&amp;TEXT(F82-22.59,"$#,##0.00")</f>
        <v>Car wash portion:$15.81</v>
      </c>
    </row>
    <row r="83" spans="1:12" customFormat="1" x14ac:dyDescent="0.25">
      <c r="A83" s="9">
        <v>42976</v>
      </c>
      <c r="B83" s="5"/>
      <c r="C83" s="12">
        <v>310.55</v>
      </c>
      <c r="D83" s="15">
        <f>IF(NOT(ISBLANK($A83)),SUM(B$3:B83)-SUM(C$3:C83),"")</f>
        <v>-9.0949470177292824E-13</v>
      </c>
      <c r="E83" s="5">
        <v>310.55</v>
      </c>
      <c r="F83" s="12"/>
      <c r="G83" s="15">
        <f>IF(NOT(ISBLANK($A83)),SUM(E$3:E83)-SUM(F$3:F83),"")</f>
        <v>-539.07000000000016</v>
      </c>
      <c r="H83" s="6"/>
      <c r="I83" s="17"/>
      <c r="J83" s="6" t="s">
        <v>18</v>
      </c>
      <c r="K83" s="120">
        <f>IF(NOT(ISBLANK(A83)),SUMIF($J$3:$J83,$J83,$B$3:$B83)-SUMIF($J$3:$J83,$J83,$C$3:$C83)+IF(J83&lt;&gt;"Transfer",SUMIF($J$3:$J83,$J83,$F$3:$F83)-SUMIF($J$3:$J83,$J83,$E$3:$E83),0),"")</f>
        <v>-3516.8</v>
      </c>
      <c r="L83" s="19"/>
    </row>
    <row r="84" spans="1:12" customFormat="1" x14ac:dyDescent="0.25">
      <c r="A84" s="10">
        <v>42977</v>
      </c>
      <c r="B84" s="7">
        <v>450</v>
      </c>
      <c r="C84" s="13"/>
      <c r="D84" s="16">
        <f>IF(NOT(ISBLANK($A84)),SUM(B$3:B84)-SUM(C$3:C84),"")</f>
        <v>449.99999999999909</v>
      </c>
      <c r="E84" s="7"/>
      <c r="F84" s="13"/>
      <c r="G84" s="16">
        <f>IF(NOT(ISBLANK($A84)),SUM(E$3:E84)-SUM(F$3:F84),"")</f>
        <v>-539.07000000000016</v>
      </c>
      <c r="H84" s="8"/>
      <c r="I84" s="18"/>
      <c r="J84" s="8" t="s">
        <v>9</v>
      </c>
      <c r="K84" s="107">
        <f>IF(NOT(ISBLANK(A84)),SUMIF($J$3:$J84,$J84,$B$3:$B84)-SUMIF($J$3:$J84,$J84,$C$3:$C84)+IF(J84&lt;&gt;"Transfer",SUMIF($J$3:$J84,$J84,$F$3:$F84)-SUMIF($J$3:$J84,$J84,$E$3:$E84),0),"")</f>
        <v>5988.84</v>
      </c>
      <c r="L84" s="20"/>
    </row>
    <row r="85" spans="1:12" customFormat="1" x14ac:dyDescent="0.25">
      <c r="A85" s="10">
        <v>42983</v>
      </c>
      <c r="B85" s="7"/>
      <c r="C85" s="13"/>
      <c r="D85" s="16">
        <f>IF(NOT(ISBLANK($A85)),SUM(B$3:B85)-SUM(C$3:C85),"")</f>
        <v>449.99999999999909</v>
      </c>
      <c r="E85" s="7"/>
      <c r="F85" s="13">
        <v>3</v>
      </c>
      <c r="G85" s="16">
        <f>IF(NOT(ISBLANK($A85)),SUM(E$3:E85)-SUM(F$3:F85),"")</f>
        <v>-542.07000000000016</v>
      </c>
      <c r="H85" s="8"/>
      <c r="I85" s="18"/>
      <c r="J85" s="8" t="s">
        <v>28</v>
      </c>
      <c r="K85" s="107">
        <f>IF(NOT(ISBLANK(A85)),SUMIF($J$3:$J85,$J85,$B$3:$B85)-SUMIF($J$3:$J85,$J85,$C$3:$C85)+IF(J85&lt;&gt;"Transfer",SUMIF($J$3:$J85,$J85,$F$3:$F85)-SUMIF($J$3:$J85,$J85,$E$3:$E85),0),"")</f>
        <v>33.5</v>
      </c>
      <c r="L85" s="20"/>
    </row>
    <row r="86" spans="1:12" customFormat="1" x14ac:dyDescent="0.25">
      <c r="A86" s="10">
        <v>42983</v>
      </c>
      <c r="B86" s="7"/>
      <c r="C86" s="13">
        <v>144.61000000000001</v>
      </c>
      <c r="D86" s="16">
        <f>IF(NOT(ISBLANK($A86)),SUM(B$3:B86)-SUM(C$3:C86),"")</f>
        <v>305.38999999999942</v>
      </c>
      <c r="E86" s="7">
        <v>144.61000000000001</v>
      </c>
      <c r="F86" s="13"/>
      <c r="G86" s="16">
        <f>IF(NOT(ISBLANK($A86)),SUM(E$3:E86)-SUM(F$3:F86),"")</f>
        <v>-397.46000000000004</v>
      </c>
      <c r="H86" s="8"/>
      <c r="I86" s="18"/>
      <c r="J86" s="8" t="s">
        <v>18</v>
      </c>
      <c r="K86" s="107">
        <f>IF(NOT(ISBLANK(A86)),SUMIF($J$3:$J86,$J86,$B$3:$B86)-SUMIF($J$3:$J86,$J86,$C$3:$C86)+IF(J86&lt;&gt;"Transfer",SUMIF($J$3:$J86,$J86,$F$3:$F86)-SUMIF($J$3:$J86,$J86,$E$3:$E86),0),"")</f>
        <v>-3661.4100000000003</v>
      </c>
      <c r="L86" s="20"/>
    </row>
    <row r="87" spans="1:12" customFormat="1" x14ac:dyDescent="0.25">
      <c r="A87" s="9">
        <v>42985</v>
      </c>
      <c r="B87" s="5"/>
      <c r="C87" s="12">
        <v>82.97</v>
      </c>
      <c r="D87" s="15">
        <f>IF(NOT(ISBLANK($A87)),SUM(B$3:B87)-SUM(C$3:C87),"")</f>
        <v>222.41999999999916</v>
      </c>
      <c r="E87" s="5"/>
      <c r="F87" s="12"/>
      <c r="G87" s="15">
        <f>IF(NOT(ISBLANK($A87)),SUM(E$3:E87)-SUM(F$3:F87),"")</f>
        <v>-397.46000000000004</v>
      </c>
      <c r="H87" s="6"/>
      <c r="I87" s="17"/>
      <c r="J87" s="6" t="s">
        <v>13</v>
      </c>
      <c r="K87" s="120">
        <f>IF(NOT(ISBLANK(A87)),SUMIF($J$3:$J87,$J87,$B$3:$B87)-SUMIF($J$3:$J87,$J87,$C$3:$C87)+IF(J87&lt;&gt;"Transfer",SUMIF($J$3:$J87,$J87,$F$3:$F87)-SUMIF($J$3:$J87,$J87,$E$3:$E87),0),"")</f>
        <v>-248.91</v>
      </c>
      <c r="L87" s="19"/>
    </row>
    <row r="88" spans="1:12" customFormat="1" x14ac:dyDescent="0.25">
      <c r="A88" s="9">
        <v>42985</v>
      </c>
      <c r="B88" s="5"/>
      <c r="C88" s="12"/>
      <c r="D88" s="15">
        <f>IF(NOT(ISBLANK($A88)),SUM(B$3:B88)-SUM(C$3:C88),"")</f>
        <v>222.41999999999916</v>
      </c>
      <c r="E88" s="5"/>
      <c r="F88" s="12">
        <v>75</v>
      </c>
      <c r="G88" s="15">
        <f>IF(NOT(ISBLANK($A88)),SUM(E$3:E88)-SUM(F$3:F88),"")</f>
        <v>-472.46000000000004</v>
      </c>
      <c r="H88" s="6" t="b">
        <v>1</v>
      </c>
      <c r="I88" s="17">
        <v>66364</v>
      </c>
      <c r="J88" s="6" t="s">
        <v>10</v>
      </c>
      <c r="K88" s="120">
        <f>IF(NOT(ISBLANK(A88)),SUMIF($J$3:$J88,$J88,$B$3:$B88)-SUMIF($J$3:$J88,$J88,$C$3:$C88)+IF(J88&lt;&gt;"Transfer",SUMIF($J$3:$J88,$J88,$F$3:$F88)-SUMIF($J$3:$J88,$J88,$E$3:$E88),0),"")</f>
        <v>933.55000000000007</v>
      </c>
      <c r="L88" s="19"/>
    </row>
    <row r="89" spans="1:12" customFormat="1" x14ac:dyDescent="0.25">
      <c r="A89" s="9">
        <v>42987</v>
      </c>
      <c r="B89" s="5"/>
      <c r="C89" s="12">
        <v>222.42</v>
      </c>
      <c r="D89" s="15">
        <f>IF(NOT(ISBLANK($A89)),SUM(B$3:B89)-SUM(C$3:C89),"")</f>
        <v>-9.0949470177292824E-13</v>
      </c>
      <c r="E89" s="5"/>
      <c r="F89" s="12"/>
      <c r="G89" s="15">
        <f>IF(NOT(ISBLANK($A89)),SUM(E$3:E89)-SUM(F$3:F89),"")</f>
        <v>-472.46000000000004</v>
      </c>
      <c r="H89" s="6"/>
      <c r="I89" s="17"/>
      <c r="J89" s="6" t="s">
        <v>14</v>
      </c>
      <c r="K89" s="120">
        <f>IF(NOT(ISBLANK(A89)),SUMIF($J$3:$J89,$J89,$B$3:$B89)-SUMIF($J$3:$J89,$J89,$C$3:$C89)+IF(J89&lt;&gt;"Transfer",SUMIF($J$3:$J89,$J89,$F$3:$F89)-SUMIF($J$3:$J89,$J89,$E$3:$E89),0),"")</f>
        <v>-556.94000000000005</v>
      </c>
      <c r="L89" s="19"/>
    </row>
    <row r="90" spans="1:12" customFormat="1" x14ac:dyDescent="0.25">
      <c r="A90" s="10">
        <v>42992</v>
      </c>
      <c r="B90" s="7"/>
      <c r="C90" s="13"/>
      <c r="D90" s="16">
        <f>IF(NOT(ISBLANK($A90)),SUM(B$3:B90)-SUM(C$3:C90),"")</f>
        <v>-9.0949470177292824E-13</v>
      </c>
      <c r="E90" s="7"/>
      <c r="F90" s="13">
        <v>42.93</v>
      </c>
      <c r="G90" s="16">
        <f>IF(NOT(ISBLANK($A90)),SUM(E$3:E90)-SUM(F$3:F90),"")</f>
        <v>-515.39000000000033</v>
      </c>
      <c r="H90" s="8" t="b">
        <v>1</v>
      </c>
      <c r="I90" s="18">
        <v>66796</v>
      </c>
      <c r="J90" s="8" t="s">
        <v>39</v>
      </c>
      <c r="K90" s="107">
        <f>IF(NOT(ISBLANK(A90)),SUMIF($J$3:$J90,$J90,$B$3:$B90)-SUMIF($J$3:$J90,$J90,$C$3:$C90)+IF(J90&lt;&gt;"Transfer",SUMIF($J$3:$J90,$J90,$F$3:$F90)-SUMIF($J$3:$J90,$J90,$E$3:$E90),0),"")</f>
        <v>80.210000000000008</v>
      </c>
      <c r="L90" s="20"/>
    </row>
    <row r="91" spans="1:12" customFormat="1" x14ac:dyDescent="0.25">
      <c r="A91" s="10">
        <v>42995</v>
      </c>
      <c r="B91" s="7"/>
      <c r="C91" s="13"/>
      <c r="D91" s="16">
        <f>IF(NOT(ISBLANK($A91)),SUM(B$3:B91)-SUM(C$3:C91),"")</f>
        <v>-9.0949470177292824E-13</v>
      </c>
      <c r="E91" s="7"/>
      <c r="F91" s="13">
        <v>67</v>
      </c>
      <c r="G91" s="16">
        <f>IF(NOT(ISBLANK($A91)),SUM(E$3:E91)-SUM(F$3:F91),"")</f>
        <v>-582.39000000000033</v>
      </c>
      <c r="H91" s="8" t="b">
        <v>1</v>
      </c>
      <c r="I91" s="18">
        <v>66883</v>
      </c>
      <c r="J91" s="8" t="s">
        <v>10</v>
      </c>
      <c r="K91" s="107">
        <f>IF(NOT(ISBLANK(A91)),SUMIF($J$3:$J91,$J91,$B$3:$B91)-SUMIF($J$3:$J91,$J91,$C$3:$C91)+IF(J91&lt;&gt;"Transfer",SUMIF($J$3:$J91,$J91,$F$3:$F91)-SUMIF($J$3:$J91,$J91,$E$3:$E91),0),"")</f>
        <v>1000.5500000000001</v>
      </c>
      <c r="L91" s="20"/>
    </row>
    <row r="92" spans="1:12" customFormat="1" x14ac:dyDescent="0.25">
      <c r="A92" s="10">
        <v>42996</v>
      </c>
      <c r="B92" s="7">
        <v>450</v>
      </c>
      <c r="C92" s="13"/>
      <c r="D92" s="16">
        <f>IF(NOT(ISBLANK($A92)),SUM(B$3:B92)-SUM(C$3:C92),"")</f>
        <v>449.99999999999909</v>
      </c>
      <c r="E92" s="7"/>
      <c r="F92" s="13"/>
      <c r="G92" s="16">
        <f>IF(NOT(ISBLANK($A92)),SUM(E$3:E92)-SUM(F$3:F92),"")</f>
        <v>-582.39000000000033</v>
      </c>
      <c r="H92" s="8"/>
      <c r="I92" s="18"/>
      <c r="J92" s="8" t="s">
        <v>9</v>
      </c>
      <c r="K92" s="107">
        <f>IF(NOT(ISBLANK(A92)),SUMIF($J$3:$J92,$J92,$B$3:$B92)-SUMIF($J$3:$J92,$J92,$C$3:$C92)+IF(J92&lt;&gt;"Transfer",SUMIF($J$3:$J92,$J92,$F$3:$F92)-SUMIF($J$3:$J92,$J92,$E$3:$E92),0),"")</f>
        <v>6438.84</v>
      </c>
      <c r="L92" s="20"/>
    </row>
    <row r="93" spans="1:12" customFormat="1" x14ac:dyDescent="0.25">
      <c r="A93" s="9">
        <v>42996</v>
      </c>
      <c r="B93" s="5"/>
      <c r="C93" s="12">
        <v>227.58</v>
      </c>
      <c r="D93" s="15">
        <f>IF(NOT(ISBLANK($A93)),SUM(B$3:B93)-SUM(C$3:C93),"")</f>
        <v>222.41999999999916</v>
      </c>
      <c r="E93" s="5">
        <v>227.58</v>
      </c>
      <c r="F93" s="12"/>
      <c r="G93" s="15">
        <f>IF(NOT(ISBLANK($A93)),SUM(E$3:E93)-SUM(F$3:F93),"")</f>
        <v>-354.8100000000004</v>
      </c>
      <c r="H93" s="6"/>
      <c r="I93" s="17"/>
      <c r="J93" s="6" t="s">
        <v>18</v>
      </c>
      <c r="K93" s="120">
        <f>IF(NOT(ISBLANK(A93)),SUMIF($J$3:$J93,$J93,$B$3:$B93)-SUMIF($J$3:$J93,$J93,$C$3:$C93)+IF(J93&lt;&gt;"Transfer",SUMIF($J$3:$J93,$J93,$F$3:$F93)-SUMIF($J$3:$J93,$J93,$E$3:$E93),0),"")</f>
        <v>-3888.9900000000002</v>
      </c>
      <c r="L93" s="19"/>
    </row>
    <row r="94" spans="1:12" customFormat="1" x14ac:dyDescent="0.25">
      <c r="A94" s="9">
        <v>42999</v>
      </c>
      <c r="B94" s="5"/>
      <c r="C94" s="12">
        <v>222.42</v>
      </c>
      <c r="D94" s="15">
        <f>IF(NOT(ISBLANK($A94)),SUM(B$3:B94)-SUM(C$3:C94),"")</f>
        <v>-9.0949470177292824E-13</v>
      </c>
      <c r="E94" s="5"/>
      <c r="F94" s="12"/>
      <c r="G94" s="15">
        <f>IF(NOT(ISBLANK($A94)),SUM(E$3:E94)-SUM(F$3:F94),"")</f>
        <v>-354.8100000000004</v>
      </c>
      <c r="H94" s="6"/>
      <c r="I94" s="17"/>
      <c r="J94" s="6" t="s">
        <v>14</v>
      </c>
      <c r="K94" s="120">
        <f>IF(NOT(ISBLANK(A94)),SUMIF($J$3:$J94,$J94,$B$3:$B94)-SUMIF($J$3:$J94,$J94,$C$3:$C94)+IF(J94&lt;&gt;"Transfer",SUMIF($J$3:$J94,$J94,$F$3:$F94)-SUMIF($J$3:$J94,$J94,$E$3:$E94),0),"")</f>
        <v>-779.36000000000013</v>
      </c>
      <c r="L94" s="19"/>
    </row>
    <row r="95" spans="1:12" customFormat="1" x14ac:dyDescent="0.25">
      <c r="A95" s="9">
        <v>43006</v>
      </c>
      <c r="B95" s="5"/>
      <c r="C95" s="12"/>
      <c r="D95" s="15">
        <f>IF(NOT(ISBLANK($A95)),SUM(B$3:B95)-SUM(C$3:C95),"")</f>
        <v>-9.0949470177292824E-13</v>
      </c>
      <c r="E95" s="5"/>
      <c r="F95" s="12">
        <v>20</v>
      </c>
      <c r="G95" s="15">
        <f>IF(NOT(ISBLANK($A95)),SUM(E$3:E95)-SUM(F$3:F95),"")</f>
        <v>-374.8100000000004</v>
      </c>
      <c r="H95" s="6" t="b">
        <v>1</v>
      </c>
      <c r="I95" s="17"/>
      <c r="J95" s="6" t="s">
        <v>10</v>
      </c>
      <c r="K95" s="120">
        <f>IF(NOT(ISBLANK(A95)),SUMIF($J$3:$J95,$J95,$B$3:$B95)-SUMIF($J$3:$J95,$J95,$C$3:$C95)+IF(J95&lt;&gt;"Transfer",SUMIF($J$3:$J95,$J95,$F$3:$F95)-SUMIF($J$3:$J95,$J95,$E$3:$E95),0),"")</f>
        <v>1020.5500000000001</v>
      </c>
      <c r="L95" s="19"/>
    </row>
    <row r="96" spans="1:12" customFormat="1" x14ac:dyDescent="0.25">
      <c r="A96" s="10">
        <v>43011</v>
      </c>
      <c r="B96" s="7">
        <v>500</v>
      </c>
      <c r="C96" s="13"/>
      <c r="D96" s="16">
        <f>IF(NOT(ISBLANK($A96)),SUM(B$3:B96)-SUM(C$3:C96),"")</f>
        <v>499.99999999999909</v>
      </c>
      <c r="E96" s="7"/>
      <c r="F96" s="13"/>
      <c r="G96" s="16">
        <f>IF(NOT(ISBLANK($A96)),SUM(E$3:E96)-SUM(F$3:F96),"")</f>
        <v>-374.8100000000004</v>
      </c>
      <c r="H96" s="8"/>
      <c r="I96" s="18"/>
      <c r="J96" s="8" t="s">
        <v>9</v>
      </c>
      <c r="K96" s="107">
        <f>IF(NOT(ISBLANK(A96)),SUMIF($J$3:$J96,$J96,$B$3:$B96)-SUMIF($J$3:$J96,$J96,$C$3:$C96)+IF(J96&lt;&gt;"Transfer",SUMIF($J$3:$J96,$J96,$F$3:$F96)-SUMIF($J$3:$J96,$J96,$E$3:$E96),0),"")</f>
        <v>6938.84</v>
      </c>
      <c r="L96" s="20"/>
    </row>
    <row r="97" spans="1:12" customFormat="1" x14ac:dyDescent="0.25">
      <c r="A97" s="10">
        <v>43011</v>
      </c>
      <c r="B97" s="7"/>
      <c r="C97" s="13"/>
      <c r="D97" s="16">
        <f>IF(NOT(ISBLANK($A97)),SUM(B$3:B97)-SUM(C$3:C97),"")</f>
        <v>499.99999999999909</v>
      </c>
      <c r="E97" s="7"/>
      <c r="F97" s="13">
        <v>62.46</v>
      </c>
      <c r="G97" s="16">
        <f>IF(NOT(ISBLANK($A97)),SUM(E$3:E97)-SUM(F$3:F97),"")</f>
        <v>-437.27000000000044</v>
      </c>
      <c r="H97" s="8" t="b">
        <v>1</v>
      </c>
      <c r="I97" s="18">
        <v>67530</v>
      </c>
      <c r="J97" s="8" t="s">
        <v>10</v>
      </c>
      <c r="K97" s="107">
        <f>IF(NOT(ISBLANK(A97)),SUMIF($J$3:$J97,$J97,$B$3:$B97)-SUMIF($J$3:$J97,$J97,$C$3:$C97)+IF(J97&lt;&gt;"Transfer",SUMIF($J$3:$J97,$J97,$F$3:$F97)-SUMIF($J$3:$J97,$J97,$E$3:$E97),0),"")</f>
        <v>1083.01</v>
      </c>
      <c r="L97" s="20"/>
    </row>
    <row r="98" spans="1:12" customFormat="1" x14ac:dyDescent="0.25">
      <c r="A98" s="10">
        <v>43013</v>
      </c>
      <c r="B98" s="7"/>
      <c r="C98" s="13">
        <v>222.42</v>
      </c>
      <c r="D98" s="16">
        <f>IF(NOT(ISBLANK($A98)),SUM(B$3:B98)-SUM(C$3:C98),"")</f>
        <v>277.57999999999902</v>
      </c>
      <c r="E98" s="7"/>
      <c r="F98" s="13"/>
      <c r="G98" s="16">
        <f>IF(NOT(ISBLANK($A98)),SUM(E$3:E98)-SUM(F$3:F98),"")</f>
        <v>-437.27000000000044</v>
      </c>
      <c r="H98" s="8"/>
      <c r="I98" s="18"/>
      <c r="J98" s="8" t="s">
        <v>14</v>
      </c>
      <c r="K98" s="107">
        <f>IF(NOT(ISBLANK(A98)),SUMIF($J$3:$J98,$J98,$B$3:$B98)-SUMIF($J$3:$J98,$J98,$C$3:$C98)+IF(J98&lt;&gt;"Transfer",SUMIF($J$3:$J98,$J98,$F$3:$F98)-SUMIF($J$3:$J98,$J98,$E$3:$E98),0),"")</f>
        <v>-1001.7800000000002</v>
      </c>
      <c r="L98" s="20"/>
    </row>
    <row r="99" spans="1:12" customFormat="1" x14ac:dyDescent="0.25">
      <c r="A99" s="9">
        <v>43016</v>
      </c>
      <c r="B99" s="5"/>
      <c r="C99" s="12"/>
      <c r="D99" s="15">
        <f>IF(NOT(ISBLANK($A99)),SUM(B$3:B99)-SUM(C$3:C99),"")</f>
        <v>277.57999999999902</v>
      </c>
      <c r="E99" s="5"/>
      <c r="F99" s="12">
        <v>69.739999999999995</v>
      </c>
      <c r="G99" s="15">
        <f>IF(NOT(ISBLANK($A99)),SUM(E$3:E99)-SUM(F$3:F99),"")</f>
        <v>-507.01000000000022</v>
      </c>
      <c r="H99" s="6" t="b">
        <v>1</v>
      </c>
      <c r="I99" s="17">
        <v>68177</v>
      </c>
      <c r="J99" s="6" t="s">
        <v>10</v>
      </c>
      <c r="K99" s="120">
        <f>IF(NOT(ISBLANK(A99)),SUMIF($J$3:$J99,$J99,$B$3:$B99)-SUMIF($J$3:$J99,$J99,$C$3:$C99)+IF(J99&lt;&gt;"Transfer",SUMIF($J$3:$J99,$J99,$F$3:$F99)-SUMIF($J$3:$J99,$J99,$E$3:$E99),0),"")</f>
        <v>1152.75</v>
      </c>
      <c r="L99" s="19"/>
    </row>
    <row r="100" spans="1:12" customFormat="1" x14ac:dyDescent="0.25">
      <c r="A100" s="9">
        <v>43018</v>
      </c>
      <c r="B100" s="5"/>
      <c r="C100" s="12">
        <v>82.97</v>
      </c>
      <c r="D100" s="15">
        <f>IF(NOT(ISBLANK($A100)),SUM(B$3:B100)-SUM(C$3:C100),"")</f>
        <v>194.60999999999876</v>
      </c>
      <c r="E100" s="5"/>
      <c r="F100" s="12"/>
      <c r="G100" s="15">
        <f>IF(NOT(ISBLANK($A100)),SUM(E$3:E100)-SUM(F$3:F100),"")</f>
        <v>-507.01000000000022</v>
      </c>
      <c r="H100" s="6"/>
      <c r="I100" s="17"/>
      <c r="J100" s="6" t="s">
        <v>13</v>
      </c>
      <c r="K100" s="120">
        <f>IF(NOT(ISBLANK(A100)),SUMIF($J$3:$J100,$J100,$B$3:$B100)-SUMIF($J$3:$J100,$J100,$C$3:$C100)+IF(J100&lt;&gt;"Transfer",SUMIF($J$3:$J100,$J100,$F$3:$F100)-SUMIF($J$3:$J100,$J100,$E$3:$E100),0),"")</f>
        <v>-331.88</v>
      </c>
      <c r="L100" s="19"/>
    </row>
    <row r="101" spans="1:12" customFormat="1" x14ac:dyDescent="0.25">
      <c r="A101" s="9">
        <v>43023</v>
      </c>
      <c r="B101" s="5"/>
      <c r="C101" s="12"/>
      <c r="D101" s="15">
        <f>IF(NOT(ISBLANK($A101)),SUM(B$3:B101)-SUM(C$3:C101),"")</f>
        <v>194.60999999999876</v>
      </c>
      <c r="E101" s="5"/>
      <c r="F101" s="12">
        <v>63.01</v>
      </c>
      <c r="G101" s="15">
        <f>IF(NOT(ISBLANK($A101)),SUM(E$3:E101)-SUM(F$3:F101),"")</f>
        <v>-570.02000000000044</v>
      </c>
      <c r="H101" s="6" t="b">
        <v>1</v>
      </c>
      <c r="I101" s="17">
        <v>68825</v>
      </c>
      <c r="J101" s="6" t="s">
        <v>10</v>
      </c>
      <c r="K101" s="120">
        <f>IF(NOT(ISBLANK(A101)),SUMIF($J$3:$J101,$J101,$B$3:$B101)-SUMIF($J$3:$J101,$J101,$C$3:$C101)+IF(J101&lt;&gt;"Transfer",SUMIF($J$3:$J101,$J101,$F$3:$F101)-SUMIF($J$3:$J101,$J101,$E$3:$E101),0),"")</f>
        <v>1215.76</v>
      </c>
      <c r="L101" s="19"/>
    </row>
    <row r="102" spans="1:12" customFormat="1" x14ac:dyDescent="0.25">
      <c r="A102" s="10">
        <f ca="1">TODAY()</f>
        <v>43044</v>
      </c>
      <c r="B102" s="7">
        <v>250</v>
      </c>
      <c r="C102" s="13"/>
      <c r="D102" s="16">
        <f ca="1">IF(NOT(ISBLANK($A102)),SUM(B$3:B102)-SUM(C$3:C102),"")</f>
        <v>444.60999999999876</v>
      </c>
      <c r="E102" s="7"/>
      <c r="F102" s="13"/>
      <c r="G102" s="16">
        <f ca="1">IF(NOT(ISBLANK($A102)),SUM(E$3:E102)-SUM(F$3:F102),"")</f>
        <v>-570.02000000000044</v>
      </c>
      <c r="H102" s="8"/>
      <c r="I102" s="18"/>
      <c r="J102" s="8" t="s">
        <v>9</v>
      </c>
      <c r="K102" s="107">
        <f ca="1">IF(NOT(ISBLANK(A102)),SUMIF($J$3:$J102,$J102,$B$3:$B102)-SUMIF($J$3:$J102,$J102,$C$3:$C102)+IF(J102&lt;&gt;"Transfer",SUMIF($J$3:$J102,$J102,$F$3:$F102)-SUMIF($J$3:$J102,$J102,$E$3:$E102),0),"")</f>
        <v>7188.84</v>
      </c>
      <c r="L102" s="20"/>
    </row>
    <row r="103" spans="1:12" customFormat="1" x14ac:dyDescent="0.25">
      <c r="A103" s="10">
        <v>43025</v>
      </c>
      <c r="B103" s="7"/>
      <c r="C103" s="13"/>
      <c r="D103" s="16">
        <f>IF(NOT(ISBLANK($A103)),SUM(B$3:B103)-SUM(C$3:C103),"")</f>
        <v>444.60999999999876</v>
      </c>
      <c r="E103" s="7"/>
      <c r="F103" s="13">
        <v>1.5</v>
      </c>
      <c r="G103" s="16">
        <f>IF(NOT(ISBLANK($A103)),SUM(E$3:E103)-SUM(F$3:F103),"")</f>
        <v>-571.52000000000044</v>
      </c>
      <c r="H103" s="8" t="b">
        <v>1</v>
      </c>
      <c r="I103" s="18"/>
      <c r="J103" s="8" t="s">
        <v>28</v>
      </c>
      <c r="K103" s="107">
        <f>IF(NOT(ISBLANK(A103)),SUMIF($J$3:$J103,$J103,$B$3:$B103)-SUMIF($J$3:$J103,$J103,$C$3:$C103)+IF(J103&lt;&gt;"Transfer",SUMIF($J$3:$J103,$J103,$F$3:$F103)-SUMIF($J$3:$J103,$J103,$E$3:$E103),0),"")</f>
        <v>35</v>
      </c>
      <c r="L103" s="20"/>
    </row>
    <row r="104" spans="1:12" customFormat="1" x14ac:dyDescent="0.25">
      <c r="A104" s="10">
        <v>43026</v>
      </c>
      <c r="B104" s="7">
        <v>500</v>
      </c>
      <c r="C104" s="13"/>
      <c r="D104" s="16">
        <f>IF(NOT(ISBLANK($A104)),SUM(B$3:B104)-SUM(C$3:C104),"")</f>
        <v>944.60999999999876</v>
      </c>
      <c r="E104" s="7"/>
      <c r="F104" s="13"/>
      <c r="G104" s="16">
        <f>IF(NOT(ISBLANK($A104)),SUM(E$3:E104)-SUM(F$3:F104),"")</f>
        <v>-571.52000000000044</v>
      </c>
      <c r="H104" s="8"/>
      <c r="I104" s="18"/>
      <c r="J104" s="8" t="s">
        <v>9</v>
      </c>
      <c r="K104" s="107">
        <f>IF(NOT(ISBLANK(A104)),SUMIF($J$3:$J104,$J104,$B$3:$B104)-SUMIF($J$3:$J104,$J104,$C$3:$C104)+IF(J104&lt;&gt;"Transfer",SUMIF($J$3:$J104,$J104,$F$3:$F104)-SUMIF($J$3:$J104,$J104,$E$3:$E104),0),"")</f>
        <v>7688.84</v>
      </c>
      <c r="L104" s="20"/>
    </row>
    <row r="105" spans="1:12" customFormat="1" x14ac:dyDescent="0.25">
      <c r="A105" s="9">
        <v>43027</v>
      </c>
      <c r="B105" s="5"/>
      <c r="C105" s="12">
        <v>570.02</v>
      </c>
      <c r="D105" s="15">
        <f>IF(NOT(ISBLANK($A105)),SUM(B$3:B105)-SUM(C$3:C105),"")</f>
        <v>374.58999999999833</v>
      </c>
      <c r="E105" s="5">
        <v>570.02</v>
      </c>
      <c r="F105" s="12"/>
      <c r="G105" s="15">
        <f>IF(NOT(ISBLANK($A105)),SUM(E$3:E105)-SUM(F$3:F105),"")</f>
        <v>-1.5000000000009095</v>
      </c>
      <c r="H105" s="6"/>
      <c r="I105" s="17"/>
      <c r="J105" s="6" t="s">
        <v>18</v>
      </c>
      <c r="K105" s="120">
        <f>IF(NOT(ISBLANK(A105)),SUMIF($J$3:$J105,$J105,$B$3:$B105)-SUMIF($J$3:$J105,$J105,$C$3:$C105)+IF(J105&lt;&gt;"Transfer",SUMIF($J$3:$J105,$J105,$F$3:$F105)-SUMIF($J$3:$J105,$J105,$E$3:$E105),0),"")</f>
        <v>-4459.01</v>
      </c>
      <c r="L105" s="19"/>
    </row>
    <row r="106" spans="1:12" customFormat="1" x14ac:dyDescent="0.25">
      <c r="A106" s="9">
        <v>43027</v>
      </c>
      <c r="B106" s="5"/>
      <c r="C106" s="12">
        <v>222.42</v>
      </c>
      <c r="D106" s="15">
        <f>IF(NOT(ISBLANK($A106)),SUM(B$3:B106)-SUM(C$3:C106),"")</f>
        <v>152.16999999999825</v>
      </c>
      <c r="E106" s="5"/>
      <c r="F106" s="12"/>
      <c r="G106" s="15">
        <f>IF(NOT(ISBLANK($A106)),SUM(E$3:E106)-SUM(F$3:F106),"")</f>
        <v>-1.5000000000009095</v>
      </c>
      <c r="H106" s="6"/>
      <c r="I106" s="17"/>
      <c r="J106" s="6" t="s">
        <v>14</v>
      </c>
      <c r="K106" s="120">
        <f>IF(NOT(ISBLANK(A106)),SUMIF($J$3:$J106,$J106,$B$3:$B106)-SUMIF($J$3:$J106,$J106,$C$3:$C106)+IF(J106&lt;&gt;"Transfer",SUMIF($J$3:$J106,$J106,$F$3:$F106)-SUMIF($J$3:$J106,$J106,$E$3:$E106),0),"")</f>
        <v>-1224.2000000000003</v>
      </c>
      <c r="L106" s="19"/>
    </row>
    <row r="107" spans="1:12" customFormat="1" x14ac:dyDescent="0.25">
      <c r="A107" s="9">
        <v>43033</v>
      </c>
      <c r="B107" s="5"/>
      <c r="C107" s="12"/>
      <c r="D107" s="15">
        <f>IF(NOT(ISBLANK($A107)),SUM(B$3:B107)-SUM(C$3:C107),"")</f>
        <v>152.16999999999825</v>
      </c>
      <c r="E107" s="5"/>
      <c r="F107" s="12">
        <v>65.2</v>
      </c>
      <c r="G107" s="15">
        <f>IF(NOT(ISBLANK($A107)),SUM(E$3:E107)-SUM(F$3:F107),"")</f>
        <v>-66.700000000000728</v>
      </c>
      <c r="H107" s="6" t="b">
        <v>1</v>
      </c>
      <c r="I107" s="17">
        <v>69330</v>
      </c>
      <c r="J107" s="6" t="s">
        <v>10</v>
      </c>
      <c r="K107" s="120">
        <f>IF(NOT(ISBLANK(A107)),SUMIF($J$3:$J107,$J107,$B$3:$B107)-SUMIF($J$3:$J107,$J107,$C$3:$C107)+IF(J107&lt;&gt;"Transfer",SUMIF($J$3:$J107,$J107,$F$3:$F107)-SUMIF($J$3:$J107,$J107,$E$3:$E107),0),"")</f>
        <v>1280.96</v>
      </c>
      <c r="L107" s="19"/>
    </row>
    <row r="108" spans="1:12" customFormat="1" x14ac:dyDescent="0.25">
      <c r="A108" s="10">
        <v>43041</v>
      </c>
      <c r="B108" s="7"/>
      <c r="C108" s="13"/>
      <c r="D108" s="16">
        <f>IF(NOT(ISBLANK($A108)),SUM(B$3:B108)-SUM(C$3:C108),"")</f>
        <v>152.16999999999825</v>
      </c>
      <c r="E108" s="7"/>
      <c r="F108" s="13">
        <v>78</v>
      </c>
      <c r="G108" s="16">
        <f>IF(NOT(ISBLANK($A108)),SUM(E$3:E108)-SUM(F$3:F108),"")</f>
        <v>-144.70000000000073</v>
      </c>
      <c r="H108" s="8" t="b">
        <v>1</v>
      </c>
      <c r="I108" s="18"/>
      <c r="J108" s="8" t="s">
        <v>10</v>
      </c>
      <c r="K108" s="107">
        <f>IF(NOT(ISBLANK(A108)),SUMIF($J$3:$J108,$J108,$B$3:$B108)-SUMIF($J$3:$J108,$J108,$C$3:$C108)+IF(J108&lt;&gt;"Transfer",SUMIF($J$3:$J108,$J108,$F$3:$F108)-SUMIF($J$3:$J108,$J108,$E$3:$E108),0),"")</f>
        <v>1358.96</v>
      </c>
      <c r="L108" s="20"/>
    </row>
    <row r="109" spans="1:12" customFormat="1" x14ac:dyDescent="0.25">
      <c r="A109" s="10">
        <v>43041</v>
      </c>
      <c r="B109" s="7">
        <v>500</v>
      </c>
      <c r="C109" s="13"/>
      <c r="D109" s="16">
        <f>IF(NOT(ISBLANK($A109)),SUM(B$3:B109)-SUM(C$3:C109),"")</f>
        <v>652.16999999999825</v>
      </c>
      <c r="E109" s="7"/>
      <c r="F109" s="13"/>
      <c r="G109" s="16">
        <f>IF(NOT(ISBLANK($A109)),SUM(E$3:E109)-SUM(F$3:F109),"")</f>
        <v>-144.70000000000073</v>
      </c>
      <c r="H109" s="8"/>
      <c r="I109" s="18"/>
      <c r="J109" s="8" t="s">
        <v>9</v>
      </c>
      <c r="K109" s="107">
        <f>IF(NOT(ISBLANK(A109)),SUMIF($J$3:$J109,$J109,$B$3:$B109)-SUMIF($J$3:$J109,$J109,$C$3:$C109)+IF(J109&lt;&gt;"Transfer",SUMIF($J$3:$J109,$J109,$F$3:$F109)-SUMIF($J$3:$J109,$J109,$E$3:$E109),0),"")</f>
        <v>8188.84</v>
      </c>
      <c r="L109" s="20"/>
    </row>
    <row r="110" spans="1:12" customFormat="1" x14ac:dyDescent="0.25">
      <c r="A110" s="10">
        <f>A109</f>
        <v>43041</v>
      </c>
      <c r="B110" s="7"/>
      <c r="C110" s="13">
        <v>222.42</v>
      </c>
      <c r="D110" s="16">
        <f>IF(NOT(ISBLANK($A110)),SUM(B$3:B110)-SUM(C$3:C110),"")</f>
        <v>429.74999999999818</v>
      </c>
      <c r="E110" s="7"/>
      <c r="F110" s="13"/>
      <c r="G110" s="16">
        <f>IF(NOT(ISBLANK($A110)),SUM(E$3:E110)-SUM(F$3:F110),"")</f>
        <v>-144.70000000000073</v>
      </c>
      <c r="H110" s="8"/>
      <c r="I110" s="18"/>
      <c r="J110" s="8" t="s">
        <v>14</v>
      </c>
      <c r="K110" s="107">
        <f>IF(NOT(ISBLANK(A110)),SUMIF($J$3:$J110,$J110,$B$3:$B110)-SUMIF($J$3:$J110,$J110,$C$3:$C110)+IF(J110&lt;&gt;"Transfer",SUMIF($J$3:$J110,$J110,$F$3:$F110)-SUMIF($J$3:$J110,$J110,$E$3:$E110),0),"")</f>
        <v>-1446.6200000000003</v>
      </c>
      <c r="L110" s="20"/>
    </row>
    <row r="111" spans="1:12" customFormat="1" x14ac:dyDescent="0.25">
      <c r="A111" s="9">
        <v>43044</v>
      </c>
      <c r="B111" s="5"/>
      <c r="C111" s="13">
        <v>124.36</v>
      </c>
      <c r="D111" s="15">
        <f>IF(NOT(ISBLANK($A111)),SUM(B$3:B111)-SUM(C$3:C111),"")</f>
        <v>305.38999999999851</v>
      </c>
      <c r="E111" s="13">
        <v>124.36</v>
      </c>
      <c r="F111" s="12"/>
      <c r="G111" s="15">
        <f>IF(NOT(ISBLANK($A111)),SUM(E$3:E111)-SUM(F$3:F111),"")</f>
        <v>-20.340000000001055</v>
      </c>
      <c r="H111" s="6"/>
      <c r="I111" s="17"/>
      <c r="J111" s="6" t="s">
        <v>18</v>
      </c>
      <c r="K111" s="120">
        <f>IF(NOT(ISBLANK(A111)),SUMIF($J$3:$J111,$J111,$B$3:$B111)-SUMIF($J$3:$J111,$J111,$C$3:$C111)+IF(J111&lt;&gt;"Transfer",SUMIF($J$3:$J111,$J111,$F$3:$F111)-SUMIF($J$3:$J111,$J111,$E$3:$E111),0),"")</f>
        <v>-4583.37</v>
      </c>
      <c r="L111" s="19"/>
    </row>
    <row r="112" spans="1:12" customFormat="1" x14ac:dyDescent="0.25">
      <c r="A112" s="9"/>
      <c r="B112" s="5"/>
      <c r="C112" s="12"/>
      <c r="D112" s="15" t="str">
        <f>IF(NOT(ISBLANK($A112)),SUM(B$3:B112)-SUM(C$3:C112),"")</f>
        <v/>
      </c>
      <c r="E112" s="5"/>
      <c r="F112" s="12"/>
      <c r="G112" s="15" t="str">
        <f>IF(NOT(ISBLANK($A112)),SUM(E$3:E112)-SUM(F$3:F112),"")</f>
        <v/>
      </c>
      <c r="H112" s="6"/>
      <c r="I112" s="17"/>
      <c r="J112" s="6"/>
      <c r="K112" s="120" t="str">
        <f>IF(NOT(ISBLANK(A112)),SUMIF($J$3:$J112,$J112,$B$3:$B112)-SUMIF($J$3:$J112,$J112,$C$3:$C112)+IF(J112&lt;&gt;"Transfer",SUMIF($J$3:$J112,$J112,$F$3:$F112)-SUMIF($J$3:$J112,$J112,$E$3:$E112),0),"")</f>
        <v/>
      </c>
      <c r="L112" s="19"/>
    </row>
    <row r="113" spans="1:12" customFormat="1" x14ac:dyDescent="0.25">
      <c r="A113" s="9"/>
      <c r="B113" s="5"/>
      <c r="C113" s="12"/>
      <c r="D113" s="15" t="str">
        <f>IF(NOT(ISBLANK($A113)),SUM(B$3:B113)-SUM(C$3:C113),"")</f>
        <v/>
      </c>
      <c r="E113" s="5"/>
      <c r="F113" s="12"/>
      <c r="G113" s="15" t="str">
        <f>IF(NOT(ISBLANK($A113)),SUM(E$3:E113)-SUM(F$3:F113),"")</f>
        <v/>
      </c>
      <c r="H113" s="6"/>
      <c r="I113" s="17"/>
      <c r="J113" s="6"/>
      <c r="K113" s="120" t="str">
        <f>IF(NOT(ISBLANK(A113)),SUMIF($J$3:$J113,$J113,$B$3:$B113)-SUMIF($J$3:$J113,$J113,$C$3:$C113)+IF(J113&lt;&gt;"Transfer",SUMIF($J$3:$J113,$J113,$F$3:$F113)-SUMIF($J$3:$J113,$J113,$E$3:$E113),0),"")</f>
        <v/>
      </c>
      <c r="L113" s="19"/>
    </row>
    <row r="114" spans="1:12" customFormat="1" x14ac:dyDescent="0.25">
      <c r="A114" s="10"/>
      <c r="B114" s="7"/>
      <c r="C114" s="13"/>
      <c r="D114" s="16" t="str">
        <f>IF(NOT(ISBLANK($A114)),SUM(B$3:B114)-SUM(C$3:C114),"")</f>
        <v/>
      </c>
      <c r="E114" s="7"/>
      <c r="F114" s="13"/>
      <c r="G114" s="16" t="str">
        <f>IF(NOT(ISBLANK($A114)),SUM(E$3:E114)-SUM(F$3:F114),"")</f>
        <v/>
      </c>
      <c r="H114" s="8"/>
      <c r="I114" s="18"/>
      <c r="J114" s="8"/>
      <c r="K114" s="107" t="str">
        <f>IF(NOT(ISBLANK(A114)),SUMIF($J$3:$J114,$J114,$B$3:$B114)-SUMIF($J$3:$J114,$J114,$C$3:$C114)+IF(J114&lt;&gt;"Transfer",SUMIF($J$3:$J114,$J114,$F$3:$F114)-SUMIF($J$3:$J114,$J114,$E$3:$E114),0),"")</f>
        <v/>
      </c>
      <c r="L114" s="20"/>
    </row>
    <row r="115" spans="1:12" customFormat="1" x14ac:dyDescent="0.25">
      <c r="A115" s="10"/>
      <c r="B115" s="7"/>
      <c r="C115" s="13"/>
      <c r="D115" s="16" t="str">
        <f>IF(NOT(ISBLANK($A115)),SUM(B$3:B115)-SUM(C$3:C115),"")</f>
        <v/>
      </c>
      <c r="E115" s="7"/>
      <c r="F115" s="13"/>
      <c r="G115" s="16" t="str">
        <f>IF(NOT(ISBLANK($A115)),SUM(E$3:E115)-SUM(F$3:F115),"")</f>
        <v/>
      </c>
      <c r="H115" s="8"/>
      <c r="I115" s="18"/>
      <c r="J115" s="8"/>
      <c r="K115" s="107" t="str">
        <f>IF(NOT(ISBLANK(A115)),SUMIF($J$3:$J115,$J115,$B$3:$B115)-SUMIF($J$3:$J115,$J115,$C$3:$C115)+IF(J115&lt;&gt;"Transfer",SUMIF($J$3:$J115,$J115,$F$3:$F115)-SUMIF($J$3:$J115,$J115,$E$3:$E115),0),"")</f>
        <v/>
      </c>
      <c r="L115" s="20"/>
    </row>
    <row r="116" spans="1:12" customFormat="1" x14ac:dyDescent="0.25">
      <c r="A116" s="10"/>
      <c r="B116" s="7"/>
      <c r="C116" s="13"/>
      <c r="D116" s="16" t="str">
        <f>IF(NOT(ISBLANK($A116)),SUM(B$3:B116)-SUM(C$3:C116),"")</f>
        <v/>
      </c>
      <c r="E116" s="7"/>
      <c r="F116" s="13"/>
      <c r="G116" s="16" t="str">
        <f>IF(NOT(ISBLANK($A116)),SUM(E$3:E116)-SUM(F$3:F116),"")</f>
        <v/>
      </c>
      <c r="H116" s="8"/>
      <c r="I116" s="18"/>
      <c r="J116" s="8"/>
      <c r="K116" s="107" t="str">
        <f>IF(NOT(ISBLANK(A116)),SUMIF($J$3:$J116,$J116,$B$3:$B116)-SUMIF($J$3:$J116,$J116,$C$3:$C116)+IF(J116&lt;&gt;"Transfer",SUMIF($J$3:$J116,$J116,$F$3:$F116)-SUMIF($J$3:$J116,$J116,$E$3:$E116),0),"")</f>
        <v/>
      </c>
      <c r="L116" s="20"/>
    </row>
    <row r="117" spans="1:12" customFormat="1" x14ac:dyDescent="0.25">
      <c r="A117" s="9"/>
      <c r="B117" s="5"/>
      <c r="C117" s="12"/>
      <c r="D117" s="15" t="str">
        <f>IF(NOT(ISBLANK($A117)),SUM(B$3:B117)-SUM(C$3:C117),"")</f>
        <v/>
      </c>
      <c r="E117" s="5"/>
      <c r="F117" s="12"/>
      <c r="G117" s="15" t="str">
        <f>IF(NOT(ISBLANK($A117)),SUM(E$3:E117)-SUM(F$3:F117),"")</f>
        <v/>
      </c>
      <c r="H117" s="6"/>
      <c r="I117" s="17"/>
      <c r="J117" s="6"/>
      <c r="K117" s="120" t="str">
        <f>IF(NOT(ISBLANK(A117)),SUMIF($J$3:$J117,$J117,$B$3:$B117)-SUMIF($J$3:$J117,$J117,$C$3:$C117)+IF(J117&lt;&gt;"Transfer",SUMIF($J$3:$J117,$J117,$F$3:$F117)-SUMIF($J$3:$J117,$J117,$E$3:$E117),0),"")</f>
        <v/>
      </c>
      <c r="L117" s="19"/>
    </row>
    <row r="118" spans="1:12" customFormat="1" x14ac:dyDescent="0.25">
      <c r="A118" s="9"/>
      <c r="B118" s="5"/>
      <c r="C118" s="12"/>
      <c r="D118" s="15" t="str">
        <f>IF(NOT(ISBLANK($A118)),SUM(B$3:B118)-SUM(C$3:C118),"")</f>
        <v/>
      </c>
      <c r="E118" s="5"/>
      <c r="F118" s="12"/>
      <c r="G118" s="15" t="str">
        <f>IF(NOT(ISBLANK($A118)),SUM(E$3:E118)-SUM(F$3:F118),"")</f>
        <v/>
      </c>
      <c r="H118" s="6"/>
      <c r="I118" s="17"/>
      <c r="J118" s="6"/>
      <c r="K118" s="120" t="str">
        <f>IF(NOT(ISBLANK(A118)),SUMIF($J$3:$J118,$J118,$B$3:$B118)-SUMIF($J$3:$J118,$J118,$C$3:$C118)+IF(J118&lt;&gt;"Transfer",SUMIF($J$3:$J118,$J118,$F$3:$F118)-SUMIF($J$3:$J118,$J118,$E$3:$E118),0),"")</f>
        <v/>
      </c>
      <c r="L118" s="19"/>
    </row>
    <row r="119" spans="1:12" customFormat="1" x14ac:dyDescent="0.25">
      <c r="A119" s="9"/>
      <c r="B119" s="5"/>
      <c r="C119" s="12"/>
      <c r="D119" s="15" t="str">
        <f>IF(NOT(ISBLANK($A119)),SUM(B$3:B119)-SUM(C$3:C119),"")</f>
        <v/>
      </c>
      <c r="E119" s="5"/>
      <c r="F119" s="12"/>
      <c r="G119" s="15" t="str">
        <f>IF(NOT(ISBLANK($A119)),SUM(E$3:E119)-SUM(F$3:F119),"")</f>
        <v/>
      </c>
      <c r="H119" s="6"/>
      <c r="I119" s="17"/>
      <c r="J119" s="6"/>
      <c r="K119" s="120" t="str">
        <f>IF(NOT(ISBLANK(A119)),SUMIF($J$3:$J119,$J119,$B$3:$B119)-SUMIF($J$3:$J119,$J119,$C$3:$C119)+IF(J119&lt;&gt;"Transfer",SUMIF($J$3:$J119,$J119,$F$3:$F119)-SUMIF($J$3:$J119,$J119,$E$3:$E119),0),"")</f>
        <v/>
      </c>
      <c r="L119" s="19"/>
    </row>
    <row r="120" spans="1:12" customFormat="1" ht="15.75" thickBot="1" x14ac:dyDescent="0.3">
      <c r="B120" s="1"/>
      <c r="C120" s="14"/>
      <c r="D120" s="2"/>
      <c r="E120" s="1"/>
      <c r="F120" s="14"/>
      <c r="G120" s="2"/>
      <c r="K120" s="107" t="str">
        <f>IF(NOT(ISBLANK(A120)),SUMIF($J$3:$J120,$J120,$B$3:$B120)-SUMIF($J$3:$J120,$J120,$C$3:$C120)+IF(J120&lt;&gt;"Transfer",SUMIF($J$3:$J120,$J120,$F$3:$F120)-SUMIF($J$3:$J120,$J120,$E$3:$E120),0),"")</f>
        <v/>
      </c>
    </row>
    <row r="121" spans="1:12" customFormat="1" ht="19.5" thickBot="1" x14ac:dyDescent="0.35">
      <c r="A121" s="113"/>
      <c r="B121" s="115" t="s">
        <v>36</v>
      </c>
      <c r="C121" s="114"/>
      <c r="D121" s="116">
        <f>SUM(B$3:B120)-SUM(C$3:C120)</f>
        <v>305.38999999999851</v>
      </c>
      <c r="E121" s="115" t="s">
        <v>36</v>
      </c>
      <c r="F121" s="114"/>
      <c r="G121" s="116">
        <f>SUM(E$3:E120)-SUM(F$3:F120)</f>
        <v>-20.340000000001055</v>
      </c>
      <c r="H121" s="113"/>
      <c r="I121" s="113"/>
      <c r="J121" s="113"/>
      <c r="K121" s="113"/>
      <c r="L121" s="113"/>
    </row>
    <row r="122" spans="1:12" x14ac:dyDescent="0.25">
      <c r="B122" s="117"/>
      <c r="C122" s="117"/>
      <c r="D122" s="117"/>
      <c r="E122" s="117"/>
      <c r="F122" s="117"/>
      <c r="G122" s="117"/>
    </row>
    <row r="123" spans="1:12" x14ac:dyDescent="0.25">
      <c r="B123" s="117"/>
      <c r="C123" s="117"/>
      <c r="D123" s="117"/>
      <c r="E123" s="117"/>
      <c r="F123" s="117"/>
      <c r="G123" s="117"/>
    </row>
    <row r="124" spans="1:12" x14ac:dyDescent="0.25">
      <c r="B124" s="117"/>
      <c r="C124" s="117"/>
      <c r="D124" s="117"/>
      <c r="E124" s="117"/>
      <c r="F124" s="117"/>
      <c r="G124" s="117"/>
    </row>
    <row r="125" spans="1:12" x14ac:dyDescent="0.25">
      <c r="B125" s="117"/>
      <c r="C125" s="117"/>
      <c r="D125" s="117"/>
      <c r="E125" s="117"/>
      <c r="F125" s="117"/>
      <c r="G125" s="117"/>
    </row>
    <row r="126" spans="1:12" x14ac:dyDescent="0.25">
      <c r="B126" s="117"/>
      <c r="C126" s="117"/>
      <c r="D126" s="117"/>
      <c r="E126" s="117"/>
      <c r="F126" s="117"/>
      <c r="G126" s="117"/>
    </row>
    <row r="127" spans="1:12" x14ac:dyDescent="0.25">
      <c r="B127" s="117"/>
      <c r="C127" s="117"/>
      <c r="D127" s="117"/>
      <c r="E127" s="117"/>
      <c r="F127" s="117"/>
      <c r="G127" s="117"/>
    </row>
    <row r="128" spans="1:12" x14ac:dyDescent="0.25">
      <c r="B128" s="117"/>
      <c r="C128" s="117"/>
      <c r="D128" s="117"/>
      <c r="E128" s="117"/>
      <c r="F128" s="117"/>
      <c r="G128" s="117"/>
    </row>
    <row r="129" spans="2:7" x14ac:dyDescent="0.25">
      <c r="B129" s="117"/>
      <c r="C129" s="117"/>
      <c r="D129" s="117"/>
      <c r="E129" s="117"/>
      <c r="F129" s="117"/>
      <c r="G129" s="117"/>
    </row>
    <row r="130" spans="2:7" x14ac:dyDescent="0.25">
      <c r="B130" s="117"/>
      <c r="C130" s="117"/>
      <c r="D130" s="117"/>
      <c r="E130" s="117"/>
      <c r="F130" s="117"/>
      <c r="G130" s="117"/>
    </row>
    <row r="131" spans="2:7" x14ac:dyDescent="0.25">
      <c r="B131" s="117"/>
      <c r="C131" s="117"/>
      <c r="D131" s="117"/>
      <c r="E131" s="117"/>
      <c r="F131" s="117"/>
      <c r="G131" s="117"/>
    </row>
    <row r="132" spans="2:7" x14ac:dyDescent="0.25">
      <c r="B132" s="117"/>
      <c r="C132" s="117"/>
      <c r="D132" s="117"/>
      <c r="E132" s="117"/>
      <c r="F132" s="117"/>
      <c r="G132" s="117"/>
    </row>
    <row r="133" spans="2:7" x14ac:dyDescent="0.25">
      <c r="B133" s="117"/>
      <c r="C133" s="117"/>
      <c r="D133" s="117"/>
      <c r="E133" s="117"/>
      <c r="F133" s="117"/>
      <c r="G133" s="117"/>
    </row>
    <row r="134" spans="2:7" x14ac:dyDescent="0.25">
      <c r="B134" s="117"/>
      <c r="C134" s="117"/>
      <c r="D134" s="117"/>
      <c r="E134" s="117"/>
      <c r="F134" s="117"/>
      <c r="G134" s="117"/>
    </row>
    <row r="135" spans="2:7" x14ac:dyDescent="0.25">
      <c r="B135" s="117"/>
      <c r="C135" s="117"/>
      <c r="D135" s="117"/>
      <c r="E135" s="117"/>
      <c r="F135" s="117"/>
      <c r="G135" s="117"/>
    </row>
    <row r="136" spans="2:7" x14ac:dyDescent="0.25">
      <c r="B136" s="117"/>
      <c r="C136" s="117"/>
      <c r="D136" s="117"/>
      <c r="E136" s="117"/>
      <c r="F136" s="117"/>
      <c r="G136" s="117"/>
    </row>
    <row r="137" spans="2:7" x14ac:dyDescent="0.25">
      <c r="B137" s="117"/>
      <c r="C137" s="117"/>
      <c r="D137" s="117"/>
      <c r="E137" s="117"/>
      <c r="F137" s="117"/>
      <c r="G137" s="117"/>
    </row>
    <row r="138" spans="2:7" x14ac:dyDescent="0.25">
      <c r="B138" s="117"/>
      <c r="C138" s="117"/>
      <c r="D138" s="117"/>
      <c r="E138" s="117"/>
      <c r="F138" s="117"/>
      <c r="G138" s="117"/>
    </row>
    <row r="139" spans="2:7" x14ac:dyDescent="0.25">
      <c r="B139" s="117"/>
      <c r="C139" s="117"/>
      <c r="D139" s="117"/>
      <c r="E139" s="117"/>
      <c r="F139" s="117"/>
      <c r="G139" s="117"/>
    </row>
    <row r="140" spans="2:7" x14ac:dyDescent="0.25">
      <c r="B140" s="117"/>
      <c r="C140" s="117"/>
      <c r="D140" s="117"/>
      <c r="E140" s="117"/>
      <c r="F140" s="117"/>
      <c r="G140" s="117"/>
    </row>
    <row r="141" spans="2:7" x14ac:dyDescent="0.25">
      <c r="B141" s="117"/>
      <c r="C141" s="117"/>
      <c r="D141" s="117"/>
      <c r="E141" s="117"/>
      <c r="F141" s="117"/>
      <c r="G141" s="117"/>
    </row>
    <row r="142" spans="2:7" x14ac:dyDescent="0.25">
      <c r="B142" s="117"/>
      <c r="C142" s="117"/>
      <c r="D142" s="117"/>
      <c r="E142" s="117"/>
      <c r="F142" s="117"/>
      <c r="G142" s="117"/>
    </row>
    <row r="143" spans="2:7" x14ac:dyDescent="0.25">
      <c r="B143" s="117"/>
      <c r="C143" s="117"/>
      <c r="D143" s="117"/>
      <c r="E143" s="117"/>
      <c r="F143" s="117"/>
      <c r="G143" s="117"/>
    </row>
    <row r="144" spans="2:7" x14ac:dyDescent="0.25">
      <c r="B144" s="117"/>
      <c r="C144" s="117"/>
      <c r="D144" s="117"/>
      <c r="E144" s="117"/>
      <c r="F144" s="117"/>
      <c r="G144" s="117"/>
    </row>
    <row r="145" spans="2:7" x14ac:dyDescent="0.25">
      <c r="B145" s="117"/>
      <c r="C145" s="117"/>
      <c r="D145" s="117"/>
      <c r="E145" s="117"/>
      <c r="F145" s="117"/>
      <c r="G145" s="117"/>
    </row>
    <row r="146" spans="2:7" x14ac:dyDescent="0.25">
      <c r="B146" s="117"/>
      <c r="C146" s="117"/>
      <c r="D146" s="117"/>
      <c r="E146" s="117"/>
      <c r="F146" s="117"/>
      <c r="G146" s="117"/>
    </row>
    <row r="147" spans="2:7" x14ac:dyDescent="0.25">
      <c r="B147" s="117"/>
      <c r="C147" s="117"/>
      <c r="D147" s="117"/>
      <c r="E147" s="117"/>
      <c r="F147" s="117"/>
      <c r="G147" s="117"/>
    </row>
    <row r="148" spans="2:7" x14ac:dyDescent="0.25">
      <c r="B148" s="117"/>
      <c r="C148" s="117"/>
      <c r="D148" s="117"/>
      <c r="E148" s="117"/>
      <c r="F148" s="117"/>
      <c r="G148" s="117"/>
    </row>
    <row r="149" spans="2:7" x14ac:dyDescent="0.25">
      <c r="B149" s="117"/>
      <c r="C149" s="117"/>
      <c r="D149" s="117"/>
      <c r="E149" s="117"/>
      <c r="F149" s="117"/>
      <c r="G149" s="117"/>
    </row>
    <row r="150" spans="2:7" x14ac:dyDescent="0.25">
      <c r="B150" s="117"/>
      <c r="C150" s="117"/>
      <c r="D150" s="117"/>
      <c r="E150" s="117"/>
      <c r="F150" s="117"/>
      <c r="G150" s="117"/>
    </row>
    <row r="151" spans="2:7" x14ac:dyDescent="0.25">
      <c r="B151" s="117"/>
      <c r="C151" s="117"/>
      <c r="D151" s="117"/>
      <c r="E151" s="117"/>
      <c r="F151" s="117"/>
      <c r="G151" s="117"/>
    </row>
    <row r="152" spans="2:7" x14ac:dyDescent="0.25">
      <c r="B152" s="117"/>
      <c r="C152" s="117"/>
      <c r="D152" s="117"/>
      <c r="E152" s="117"/>
      <c r="F152" s="117"/>
      <c r="G152" s="117"/>
    </row>
    <row r="153" spans="2:7" x14ac:dyDescent="0.25">
      <c r="B153" s="117"/>
      <c r="C153" s="117"/>
      <c r="D153" s="117"/>
      <c r="E153" s="117"/>
      <c r="F153" s="117"/>
      <c r="G153" s="117"/>
    </row>
    <row r="154" spans="2:7" x14ac:dyDescent="0.25">
      <c r="B154" s="117"/>
      <c r="C154" s="117"/>
      <c r="D154" s="117"/>
      <c r="E154" s="117"/>
      <c r="F154" s="117"/>
      <c r="G154" s="117"/>
    </row>
    <row r="155" spans="2:7" x14ac:dyDescent="0.25">
      <c r="B155" s="117"/>
      <c r="C155" s="117"/>
      <c r="D155" s="117"/>
      <c r="E155" s="117"/>
      <c r="F155" s="117"/>
      <c r="G155" s="117"/>
    </row>
    <row r="156" spans="2:7" x14ac:dyDescent="0.25">
      <c r="B156" s="117"/>
      <c r="C156" s="117"/>
      <c r="D156" s="117"/>
      <c r="E156" s="117"/>
      <c r="F156" s="117"/>
      <c r="G156" s="117"/>
    </row>
    <row r="157" spans="2:7" x14ac:dyDescent="0.25">
      <c r="B157" s="117"/>
      <c r="C157" s="117"/>
      <c r="D157" s="117"/>
      <c r="E157" s="117"/>
      <c r="F157" s="117"/>
      <c r="G157" s="117"/>
    </row>
    <row r="158" spans="2:7" x14ac:dyDescent="0.25">
      <c r="B158" s="117"/>
      <c r="C158" s="117"/>
      <c r="D158" s="117"/>
      <c r="E158" s="117"/>
      <c r="F158" s="117"/>
      <c r="G158" s="117"/>
    </row>
    <row r="159" spans="2:7" x14ac:dyDescent="0.25">
      <c r="B159" s="117"/>
      <c r="C159" s="117"/>
      <c r="D159" s="117"/>
      <c r="E159" s="117"/>
      <c r="F159" s="117"/>
      <c r="G159" s="117"/>
    </row>
    <row r="160" spans="2:7" x14ac:dyDescent="0.25">
      <c r="B160" s="117"/>
      <c r="C160" s="117"/>
      <c r="D160" s="117"/>
      <c r="E160" s="117"/>
      <c r="F160" s="117"/>
      <c r="G160" s="117"/>
    </row>
    <row r="161" spans="2:7" x14ac:dyDescent="0.25">
      <c r="B161" s="117"/>
      <c r="C161" s="117"/>
      <c r="D161" s="117"/>
      <c r="E161" s="117"/>
      <c r="F161" s="117"/>
      <c r="G161" s="117"/>
    </row>
    <row r="162" spans="2:7" x14ac:dyDescent="0.25">
      <c r="B162" s="117"/>
      <c r="C162" s="117"/>
      <c r="D162" s="117"/>
      <c r="E162" s="117"/>
      <c r="F162" s="117"/>
      <c r="G162" s="117"/>
    </row>
    <row r="163" spans="2:7" x14ac:dyDescent="0.25">
      <c r="B163" s="117"/>
      <c r="C163" s="117"/>
      <c r="D163" s="117"/>
      <c r="E163" s="117"/>
      <c r="F163" s="117"/>
      <c r="G163" s="117"/>
    </row>
    <row r="164" spans="2:7" x14ac:dyDescent="0.25">
      <c r="B164" s="117"/>
      <c r="C164" s="117"/>
      <c r="D164" s="117"/>
      <c r="E164" s="117"/>
      <c r="F164" s="117"/>
      <c r="G164" s="117"/>
    </row>
    <row r="165" spans="2:7" x14ac:dyDescent="0.25">
      <c r="B165" s="117"/>
      <c r="C165" s="117"/>
      <c r="D165" s="117"/>
      <c r="E165" s="117"/>
      <c r="F165" s="117"/>
      <c r="G165" s="117"/>
    </row>
    <row r="166" spans="2:7" x14ac:dyDescent="0.25">
      <c r="B166" s="117"/>
      <c r="C166" s="117"/>
      <c r="D166" s="117"/>
      <c r="E166" s="117"/>
      <c r="F166" s="117"/>
      <c r="G166" s="117"/>
    </row>
    <row r="167" spans="2:7" x14ac:dyDescent="0.25">
      <c r="B167" s="117"/>
      <c r="C167" s="117"/>
      <c r="D167" s="117"/>
      <c r="E167" s="117"/>
      <c r="F167" s="117"/>
      <c r="G167" s="117"/>
    </row>
    <row r="168" spans="2:7" x14ac:dyDescent="0.25">
      <c r="B168" s="117"/>
      <c r="C168" s="117"/>
      <c r="D168" s="117"/>
      <c r="E168" s="117"/>
      <c r="F168" s="117"/>
      <c r="G168" s="117"/>
    </row>
    <row r="169" spans="2:7" x14ac:dyDescent="0.25">
      <c r="B169" s="117"/>
      <c r="C169" s="117"/>
      <c r="D169" s="117"/>
      <c r="E169" s="117"/>
      <c r="F169" s="117"/>
      <c r="G169" s="117"/>
    </row>
    <row r="170" spans="2:7" x14ac:dyDescent="0.25">
      <c r="B170" s="117"/>
      <c r="C170" s="117"/>
      <c r="D170" s="117"/>
      <c r="E170" s="117"/>
      <c r="F170" s="117"/>
      <c r="G170" s="117"/>
    </row>
    <row r="171" spans="2:7" x14ac:dyDescent="0.25">
      <c r="B171" s="117"/>
      <c r="C171" s="117"/>
      <c r="D171" s="117"/>
      <c r="E171" s="117"/>
      <c r="F171" s="117"/>
      <c r="G171" s="117"/>
    </row>
    <row r="172" spans="2:7" x14ac:dyDescent="0.25">
      <c r="B172" s="117"/>
      <c r="C172" s="117"/>
      <c r="D172" s="117"/>
      <c r="E172" s="117"/>
      <c r="F172" s="117"/>
      <c r="G172" s="117"/>
    </row>
    <row r="173" spans="2:7" x14ac:dyDescent="0.25">
      <c r="B173" s="117"/>
      <c r="C173" s="117"/>
      <c r="D173" s="117"/>
      <c r="E173" s="117"/>
      <c r="F173" s="117"/>
      <c r="G173" s="117"/>
    </row>
    <row r="174" spans="2:7" x14ac:dyDescent="0.25">
      <c r="B174" s="117"/>
      <c r="C174" s="117"/>
      <c r="D174" s="117"/>
      <c r="E174" s="117"/>
      <c r="F174" s="117"/>
      <c r="G174" s="117"/>
    </row>
    <row r="175" spans="2:7" x14ac:dyDescent="0.25">
      <c r="B175" s="117"/>
      <c r="C175" s="117"/>
      <c r="D175" s="117"/>
      <c r="E175" s="117"/>
      <c r="F175" s="117"/>
      <c r="G175" s="117"/>
    </row>
    <row r="176" spans="2:7" x14ac:dyDescent="0.25">
      <c r="B176" s="117"/>
      <c r="C176" s="117"/>
      <c r="D176" s="117"/>
      <c r="E176" s="117"/>
      <c r="F176" s="117"/>
      <c r="G176" s="117"/>
    </row>
    <row r="177" spans="2:7" x14ac:dyDescent="0.25">
      <c r="B177" s="117"/>
      <c r="C177" s="117"/>
      <c r="D177" s="117"/>
      <c r="E177" s="117"/>
      <c r="F177" s="117"/>
      <c r="G177" s="117"/>
    </row>
    <row r="178" spans="2:7" x14ac:dyDescent="0.25">
      <c r="B178" s="117"/>
      <c r="C178" s="117"/>
      <c r="D178" s="117"/>
      <c r="E178" s="117"/>
      <c r="F178" s="117"/>
      <c r="G178" s="117"/>
    </row>
    <row r="179" spans="2:7" x14ac:dyDescent="0.25">
      <c r="B179" s="117"/>
      <c r="C179" s="117"/>
      <c r="D179" s="117"/>
      <c r="E179" s="117"/>
      <c r="F179" s="117"/>
      <c r="G179" s="117"/>
    </row>
    <row r="180" spans="2:7" x14ac:dyDescent="0.25">
      <c r="B180" s="117"/>
      <c r="C180" s="117"/>
      <c r="D180" s="117"/>
      <c r="E180" s="117"/>
      <c r="F180" s="117"/>
      <c r="G180" s="117"/>
    </row>
    <row r="181" spans="2:7" x14ac:dyDescent="0.25">
      <c r="B181" s="117"/>
      <c r="C181" s="117"/>
      <c r="D181" s="117"/>
      <c r="E181" s="117"/>
      <c r="F181" s="117"/>
      <c r="G181" s="117"/>
    </row>
    <row r="182" spans="2:7" x14ac:dyDescent="0.25">
      <c r="B182" s="117"/>
      <c r="C182" s="117"/>
      <c r="D182" s="117"/>
      <c r="E182" s="117"/>
      <c r="F182" s="117"/>
      <c r="G182" s="117"/>
    </row>
    <row r="183" spans="2:7" x14ac:dyDescent="0.25">
      <c r="B183" s="117"/>
      <c r="C183" s="117"/>
      <c r="D183" s="117"/>
      <c r="E183" s="117"/>
      <c r="F183" s="117"/>
      <c r="G183" s="117"/>
    </row>
    <row r="184" spans="2:7" x14ac:dyDescent="0.25">
      <c r="B184" s="117"/>
      <c r="C184" s="117"/>
      <c r="D184" s="117"/>
      <c r="E184" s="117"/>
      <c r="F184" s="117"/>
      <c r="G184" s="117"/>
    </row>
    <row r="185" spans="2:7" x14ac:dyDescent="0.25">
      <c r="B185" s="117"/>
      <c r="C185" s="117"/>
      <c r="D185" s="117"/>
      <c r="E185" s="117"/>
      <c r="F185" s="117"/>
      <c r="G185" s="117"/>
    </row>
    <row r="186" spans="2:7" x14ac:dyDescent="0.25">
      <c r="B186" s="117"/>
      <c r="C186" s="117"/>
      <c r="D186" s="117"/>
      <c r="E186" s="117"/>
      <c r="F186" s="117"/>
      <c r="G186" s="117"/>
    </row>
    <row r="187" spans="2:7" x14ac:dyDescent="0.25">
      <c r="B187" s="117"/>
      <c r="C187" s="117"/>
      <c r="D187" s="117"/>
      <c r="E187" s="117"/>
      <c r="F187" s="117"/>
      <c r="G187" s="117"/>
    </row>
    <row r="188" spans="2:7" x14ac:dyDescent="0.25">
      <c r="B188" s="117"/>
      <c r="C188" s="117"/>
      <c r="D188" s="117"/>
      <c r="E188" s="117"/>
      <c r="F188" s="117"/>
      <c r="G188" s="117"/>
    </row>
    <row r="189" spans="2:7" x14ac:dyDescent="0.25">
      <c r="B189" s="117"/>
      <c r="C189" s="117"/>
      <c r="D189" s="117"/>
      <c r="E189" s="117"/>
      <c r="F189" s="117"/>
      <c r="G189" s="117"/>
    </row>
    <row r="190" spans="2:7" x14ac:dyDescent="0.25">
      <c r="B190" s="117"/>
      <c r="C190" s="117"/>
      <c r="D190" s="117"/>
      <c r="E190" s="117"/>
      <c r="F190" s="117"/>
      <c r="G190" s="117"/>
    </row>
    <row r="191" spans="2:7" x14ac:dyDescent="0.25">
      <c r="B191" s="117"/>
      <c r="C191" s="117"/>
      <c r="D191" s="117"/>
      <c r="E191" s="117"/>
      <c r="F191" s="117"/>
      <c r="G191" s="117"/>
    </row>
    <row r="192" spans="2:7" x14ac:dyDescent="0.25">
      <c r="B192" s="117"/>
      <c r="C192" s="117"/>
      <c r="D192" s="117"/>
      <c r="E192" s="117"/>
      <c r="F192" s="117"/>
      <c r="G192" s="117"/>
    </row>
    <row r="193" spans="2:7" x14ac:dyDescent="0.25">
      <c r="B193" s="117"/>
      <c r="C193" s="117"/>
      <c r="D193" s="117"/>
      <c r="E193" s="117"/>
      <c r="F193" s="117"/>
      <c r="G193" s="117"/>
    </row>
    <row r="194" spans="2:7" x14ac:dyDescent="0.25">
      <c r="B194" s="117"/>
      <c r="C194" s="117"/>
      <c r="D194" s="117"/>
      <c r="E194" s="117"/>
      <c r="F194" s="117"/>
      <c r="G194" s="117"/>
    </row>
    <row r="195" spans="2:7" x14ac:dyDescent="0.25">
      <c r="B195" s="117"/>
      <c r="C195" s="117"/>
      <c r="D195" s="117"/>
      <c r="E195" s="117"/>
      <c r="F195" s="117"/>
      <c r="G195" s="117"/>
    </row>
    <row r="196" spans="2:7" x14ac:dyDescent="0.25">
      <c r="B196" s="117"/>
      <c r="C196" s="117"/>
      <c r="D196" s="117"/>
      <c r="E196" s="117"/>
      <c r="F196" s="117"/>
      <c r="G196" s="117"/>
    </row>
    <row r="197" spans="2:7" x14ac:dyDescent="0.25">
      <c r="B197" s="117"/>
      <c r="C197" s="117"/>
      <c r="D197" s="117"/>
      <c r="E197" s="117"/>
      <c r="F197" s="117"/>
      <c r="G197" s="117"/>
    </row>
    <row r="198" spans="2:7" x14ac:dyDescent="0.25">
      <c r="B198" s="117"/>
      <c r="C198" s="117"/>
      <c r="D198" s="117"/>
      <c r="E198" s="117"/>
      <c r="F198" s="117"/>
      <c r="G198" s="117"/>
    </row>
    <row r="199" spans="2:7" x14ac:dyDescent="0.25">
      <c r="B199" s="117"/>
      <c r="C199" s="117"/>
      <c r="D199" s="117"/>
      <c r="E199" s="117"/>
      <c r="F199" s="117"/>
      <c r="G199" s="117"/>
    </row>
    <row r="200" spans="2:7" x14ac:dyDescent="0.25">
      <c r="B200" s="117"/>
      <c r="C200" s="117"/>
      <c r="D200" s="117"/>
      <c r="E200" s="117"/>
      <c r="F200" s="117"/>
      <c r="G200" s="117"/>
    </row>
    <row r="201" spans="2:7" x14ac:dyDescent="0.25">
      <c r="B201" s="117"/>
      <c r="C201" s="117"/>
      <c r="D201" s="117"/>
      <c r="E201" s="117"/>
      <c r="F201" s="117"/>
      <c r="G201" s="117"/>
    </row>
    <row r="202" spans="2:7" x14ac:dyDescent="0.25">
      <c r="B202" s="117"/>
      <c r="C202" s="117"/>
      <c r="D202" s="117"/>
      <c r="E202" s="117"/>
      <c r="F202" s="117"/>
      <c r="G202" s="117"/>
    </row>
    <row r="203" spans="2:7" x14ac:dyDescent="0.25">
      <c r="B203" s="117"/>
      <c r="C203" s="117"/>
      <c r="D203" s="117"/>
      <c r="E203" s="117"/>
      <c r="F203" s="117"/>
      <c r="G203" s="117"/>
    </row>
    <row r="204" spans="2:7" x14ac:dyDescent="0.25">
      <c r="B204" s="117"/>
      <c r="C204" s="117"/>
      <c r="D204" s="117"/>
      <c r="E204" s="117"/>
      <c r="F204" s="117"/>
      <c r="G204" s="117"/>
    </row>
    <row r="205" spans="2:7" x14ac:dyDescent="0.25">
      <c r="B205" s="117"/>
      <c r="C205" s="117"/>
      <c r="D205" s="117"/>
      <c r="E205" s="117"/>
      <c r="F205" s="117"/>
      <c r="G205" s="117"/>
    </row>
    <row r="206" spans="2:7" x14ac:dyDescent="0.25">
      <c r="B206" s="117"/>
      <c r="C206" s="117"/>
      <c r="D206" s="117"/>
      <c r="E206" s="117"/>
      <c r="F206" s="117"/>
      <c r="G206" s="117"/>
    </row>
    <row r="207" spans="2:7" x14ac:dyDescent="0.25">
      <c r="B207" s="117"/>
      <c r="C207" s="117"/>
      <c r="D207" s="117"/>
      <c r="E207" s="117"/>
      <c r="F207" s="117"/>
      <c r="G207" s="117"/>
    </row>
    <row r="208" spans="2:7" x14ac:dyDescent="0.25">
      <c r="B208" s="117"/>
      <c r="C208" s="117"/>
      <c r="D208" s="117"/>
      <c r="E208" s="117"/>
      <c r="F208" s="117"/>
      <c r="G208" s="117"/>
    </row>
    <row r="209" spans="2:7" x14ac:dyDescent="0.25">
      <c r="B209" s="117"/>
      <c r="C209" s="117"/>
      <c r="D209" s="117"/>
      <c r="E209" s="117"/>
      <c r="F209" s="117"/>
      <c r="G209" s="117"/>
    </row>
    <row r="210" spans="2:7" x14ac:dyDescent="0.25">
      <c r="B210" s="117"/>
      <c r="C210" s="117"/>
      <c r="D210" s="117"/>
      <c r="E210" s="117"/>
      <c r="F210" s="117"/>
      <c r="G210" s="117"/>
    </row>
    <row r="211" spans="2:7" x14ac:dyDescent="0.25">
      <c r="B211" s="117"/>
      <c r="C211" s="117"/>
      <c r="D211" s="117"/>
      <c r="E211" s="117"/>
      <c r="F211" s="117"/>
      <c r="G211" s="117"/>
    </row>
    <row r="212" spans="2:7" x14ac:dyDescent="0.25">
      <c r="B212" s="117"/>
      <c r="C212" s="117"/>
      <c r="D212" s="117"/>
      <c r="E212" s="117"/>
      <c r="F212" s="117"/>
      <c r="G212" s="117"/>
    </row>
    <row r="213" spans="2:7" x14ac:dyDescent="0.25">
      <c r="B213" s="117"/>
      <c r="C213" s="117"/>
      <c r="D213" s="117"/>
      <c r="E213" s="117"/>
      <c r="F213" s="117"/>
      <c r="G213" s="117"/>
    </row>
    <row r="214" spans="2:7" x14ac:dyDescent="0.25">
      <c r="B214" s="117"/>
      <c r="C214" s="117"/>
      <c r="D214" s="117"/>
      <c r="E214" s="117"/>
      <c r="F214" s="117"/>
      <c r="G214" s="117"/>
    </row>
    <row r="215" spans="2:7" x14ac:dyDescent="0.25">
      <c r="B215" s="117"/>
      <c r="C215" s="117"/>
      <c r="D215" s="117"/>
      <c r="E215" s="117"/>
      <c r="F215" s="117"/>
      <c r="G215" s="117"/>
    </row>
    <row r="216" spans="2:7" x14ac:dyDescent="0.25">
      <c r="B216" s="117"/>
      <c r="C216" s="117"/>
      <c r="D216" s="117"/>
      <c r="E216" s="117"/>
      <c r="F216" s="117"/>
      <c r="G216" s="117"/>
    </row>
    <row r="217" spans="2:7" x14ac:dyDescent="0.25">
      <c r="B217" s="117"/>
      <c r="C217" s="117"/>
      <c r="D217" s="117"/>
      <c r="E217" s="117"/>
      <c r="F217" s="117"/>
      <c r="G217" s="117"/>
    </row>
    <row r="218" spans="2:7" x14ac:dyDescent="0.25">
      <c r="B218" s="117"/>
      <c r="C218" s="117"/>
      <c r="D218" s="117"/>
      <c r="E218" s="117"/>
      <c r="F218" s="117"/>
      <c r="G218" s="117"/>
    </row>
    <row r="219" spans="2:7" x14ac:dyDescent="0.25">
      <c r="B219" s="117"/>
      <c r="C219" s="117"/>
      <c r="D219" s="117"/>
      <c r="E219" s="117"/>
      <c r="F219" s="117"/>
      <c r="G219" s="117"/>
    </row>
    <row r="220" spans="2:7" x14ac:dyDescent="0.25">
      <c r="B220" s="117"/>
      <c r="C220" s="117"/>
      <c r="D220" s="117"/>
      <c r="E220" s="117"/>
      <c r="F220" s="117"/>
      <c r="G220" s="117"/>
    </row>
    <row r="221" spans="2:7" x14ac:dyDescent="0.25">
      <c r="B221" s="117"/>
      <c r="C221" s="117"/>
      <c r="D221" s="117"/>
      <c r="E221" s="117"/>
      <c r="F221" s="117"/>
      <c r="G221" s="117"/>
    </row>
    <row r="222" spans="2:7" x14ac:dyDescent="0.25">
      <c r="B222" s="117"/>
      <c r="C222" s="117"/>
      <c r="D222" s="117"/>
      <c r="E222" s="117"/>
      <c r="F222" s="117"/>
      <c r="G222" s="117"/>
    </row>
    <row r="223" spans="2:7" x14ac:dyDescent="0.25">
      <c r="B223" s="117"/>
      <c r="C223" s="117"/>
      <c r="D223" s="117"/>
      <c r="E223" s="117"/>
      <c r="F223" s="117"/>
      <c r="G223" s="117"/>
    </row>
    <row r="224" spans="2:7" x14ac:dyDescent="0.25">
      <c r="B224" s="117"/>
      <c r="C224" s="117"/>
      <c r="D224" s="117"/>
      <c r="E224" s="117"/>
      <c r="F224" s="117"/>
      <c r="G224" s="117"/>
    </row>
    <row r="225" spans="2:7" x14ac:dyDescent="0.25">
      <c r="B225" s="117"/>
      <c r="C225" s="117"/>
      <c r="D225" s="117"/>
      <c r="E225" s="117"/>
      <c r="F225" s="117"/>
      <c r="G225" s="117"/>
    </row>
    <row r="226" spans="2:7" x14ac:dyDescent="0.25">
      <c r="B226" s="117"/>
      <c r="C226" s="117"/>
      <c r="D226" s="117"/>
      <c r="E226" s="117"/>
      <c r="F226" s="117"/>
      <c r="G226" s="117"/>
    </row>
    <row r="227" spans="2:7" x14ac:dyDescent="0.25">
      <c r="B227" s="117"/>
      <c r="C227" s="117"/>
      <c r="D227" s="117"/>
      <c r="E227" s="117"/>
      <c r="F227" s="117"/>
      <c r="G227" s="117"/>
    </row>
  </sheetData>
  <sortState ref="A99:K104">
    <sortCondition ref="A99:A104"/>
  </sortState>
  <mergeCells count="7">
    <mergeCell ref="I1:I2"/>
    <mergeCell ref="J1:J2"/>
    <mergeCell ref="L1:L2"/>
    <mergeCell ref="A1:A2"/>
    <mergeCell ref="H1:H2"/>
    <mergeCell ref="B1:D1"/>
    <mergeCell ref="E1:G1"/>
  </mergeCells>
  <pageMargins left="0.70866141732283472" right="0.70866141732283472" top="0.74803149606299213" bottom="0.74803149606299213" header="0.31496062992125984" footer="0.31496062992125984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workbookViewId="0">
      <selection activeCell="E30" sqref="E30"/>
    </sheetView>
  </sheetViews>
  <sheetFormatPr defaultRowHeight="15" x14ac:dyDescent="0.25"/>
  <cols>
    <col min="1" max="1" width="30.42578125" bestFit="1" customWidth="1"/>
    <col min="2" max="3" width="10.5703125" bestFit="1" customWidth="1"/>
    <col min="4" max="4" width="12.7109375" bestFit="1" customWidth="1"/>
    <col min="5" max="6" width="10.5703125" bestFit="1" customWidth="1"/>
    <col min="7" max="7" width="7.85546875" customWidth="1"/>
    <col min="8" max="9" width="10.5703125" bestFit="1" customWidth="1"/>
    <col min="10" max="10" width="12.7109375" bestFit="1" customWidth="1"/>
    <col min="12" max="12" width="32.7109375" bestFit="1" customWidth="1"/>
  </cols>
  <sheetData>
    <row r="1" spans="1:12" x14ac:dyDescent="0.25">
      <c r="A1" s="122" t="s">
        <v>0</v>
      </c>
      <c r="B1" s="124" t="s">
        <v>1</v>
      </c>
      <c r="C1" s="125"/>
      <c r="D1" s="126"/>
      <c r="E1" s="124" t="s">
        <v>47</v>
      </c>
      <c r="F1" s="125"/>
      <c r="G1" s="126"/>
      <c r="H1" s="124" t="s">
        <v>46</v>
      </c>
      <c r="I1" s="125"/>
      <c r="J1" s="126"/>
      <c r="K1" s="122" t="s">
        <v>19</v>
      </c>
      <c r="L1" s="122" t="s">
        <v>3</v>
      </c>
    </row>
    <row r="2" spans="1:12" x14ac:dyDescent="0.25">
      <c r="A2" s="123"/>
      <c r="B2" s="3" t="s">
        <v>4</v>
      </c>
      <c r="C2" s="11" t="s">
        <v>5</v>
      </c>
      <c r="D2" s="4" t="s">
        <v>36</v>
      </c>
      <c r="E2" s="3" t="s">
        <v>4</v>
      </c>
      <c r="F2" s="11" t="s">
        <v>5</v>
      </c>
      <c r="G2" s="4" t="s">
        <v>36</v>
      </c>
      <c r="H2" s="3" t="s">
        <v>4</v>
      </c>
      <c r="I2" s="11" t="s">
        <v>5</v>
      </c>
      <c r="J2" s="4" t="s">
        <v>36</v>
      </c>
      <c r="K2" s="123"/>
      <c r="L2" s="123"/>
    </row>
    <row r="3" spans="1:12" x14ac:dyDescent="0.25">
      <c r="A3" s="9">
        <v>42979</v>
      </c>
      <c r="B3" s="5"/>
      <c r="C3" s="12"/>
      <c r="D3" s="15">
        <f>IF(NOT(ISBLANK($A3)),SUM(B$3:B3)-SUM(C$3:C3),"")</f>
        <v>0</v>
      </c>
      <c r="E3" s="5"/>
      <c r="F3" s="12"/>
      <c r="G3" s="15">
        <f>IF(NOT(ISBLANK($A3)),SUM(E$3:E3)-SUM(F$3:F3),"")</f>
        <v>0</v>
      </c>
      <c r="H3" s="5"/>
      <c r="I3" s="12">
        <v>2862.19</v>
      </c>
      <c r="J3" s="15">
        <f>IF(NOT(ISBLANK($A3)),SUM(H$3:H3)-SUM(I$3:I3),"")</f>
        <v>-2862.19</v>
      </c>
      <c r="K3" s="6" t="s">
        <v>49</v>
      </c>
      <c r="L3" s="19" t="s">
        <v>6</v>
      </c>
    </row>
    <row r="4" spans="1:12" x14ac:dyDescent="0.25">
      <c r="A4" s="9">
        <v>42979</v>
      </c>
      <c r="B4" s="5"/>
      <c r="C4" s="12"/>
      <c r="D4" s="15">
        <f>IF(NOT(ISBLANK($A4)),SUM(B$3:B4)-SUM(C$3:C4),"")</f>
        <v>0</v>
      </c>
      <c r="E4" s="5"/>
      <c r="F4" s="12">
        <v>103.96</v>
      </c>
      <c r="G4" s="15">
        <f>IF(NOT(ISBLANK($A4)),SUM(E$3:E4)-SUM(F$3:F4),"")</f>
        <v>-103.96</v>
      </c>
      <c r="H4" s="5"/>
      <c r="I4" s="12"/>
      <c r="J4" s="15">
        <f>IF(NOT(ISBLANK($A4)),SUM(H$3:H4)-SUM(I$3:I4),"")</f>
        <v>-2862.19</v>
      </c>
      <c r="K4" s="6" t="s">
        <v>53</v>
      </c>
      <c r="L4" s="19" t="s">
        <v>48</v>
      </c>
    </row>
    <row r="5" spans="1:12" x14ac:dyDescent="0.25">
      <c r="A5" s="10">
        <v>42980</v>
      </c>
      <c r="B5" s="7">
        <v>3000</v>
      </c>
      <c r="C5" s="13"/>
      <c r="D5" s="16">
        <f>IF(NOT(ISBLANK($A5)),SUM(B$3:B5)-SUM(C$3:C5),"")</f>
        <v>3000</v>
      </c>
      <c r="E5" s="7"/>
      <c r="F5" s="13"/>
      <c r="G5" s="16">
        <f>IF(NOT(ISBLANK($A5)),SUM(E$3:E5)-SUM(F$3:F5),"")</f>
        <v>-103.96</v>
      </c>
      <c r="H5" s="7"/>
      <c r="I5" s="13"/>
      <c r="J5" s="16">
        <f>IF(NOT(ISBLANK($A5)),SUM(H$3:H5)-SUM(I$3:I5),"")</f>
        <v>-2862.19</v>
      </c>
      <c r="K5" s="8" t="s">
        <v>9</v>
      </c>
      <c r="L5" s="20"/>
    </row>
    <row r="6" spans="1:12" x14ac:dyDescent="0.25">
      <c r="A6" s="10">
        <v>42980</v>
      </c>
      <c r="B6" s="7"/>
      <c r="C6" s="13">
        <v>103.96</v>
      </c>
      <c r="D6" s="16">
        <f>IF(NOT(ISBLANK($A6)),SUM(B$3:B6)-SUM(C$3:C6),"")</f>
        <v>2896.04</v>
      </c>
      <c r="E6" s="7">
        <v>103.96</v>
      </c>
      <c r="F6" s="13"/>
      <c r="G6" s="16">
        <f>IF(NOT(ISBLANK($A6)),SUM(E$3:E6)-SUM(F$3:F6),"")</f>
        <v>0</v>
      </c>
      <c r="H6" s="7"/>
      <c r="I6" s="13"/>
      <c r="J6" s="16">
        <f>IF(NOT(ISBLANK($A6)),SUM(H$3:H6)-SUM(I$3:I6),"")</f>
        <v>-2862.19</v>
      </c>
      <c r="K6" s="8" t="s">
        <v>18</v>
      </c>
      <c r="L6" s="20"/>
    </row>
    <row r="7" spans="1:12" x14ac:dyDescent="0.25">
      <c r="A7" s="9">
        <v>42983</v>
      </c>
      <c r="B7" s="5"/>
      <c r="C7" s="12">
        <v>2862.19</v>
      </c>
      <c r="D7" s="15">
        <f>IF(NOT(ISBLANK($A7)),SUM(B$3:B7)-SUM(C$3:C7),"")</f>
        <v>33.849999999999909</v>
      </c>
      <c r="E7" s="5"/>
      <c r="F7" s="12"/>
      <c r="G7" s="15">
        <f>IF(NOT(ISBLANK($A7)),SUM(E$3:E7)-SUM(F$3:F7),"")</f>
        <v>0</v>
      </c>
      <c r="H7" s="5">
        <v>2862.19</v>
      </c>
      <c r="I7" s="12"/>
      <c r="J7" s="15">
        <f>IF(NOT(ISBLANK($A7)),SUM(H$3:H7)-SUM(I$3:I7),"")</f>
        <v>0</v>
      </c>
      <c r="K7" s="6" t="s">
        <v>14</v>
      </c>
      <c r="L7" s="19"/>
    </row>
    <row r="8" spans="1:12" x14ac:dyDescent="0.25">
      <c r="A8" s="9">
        <v>42984</v>
      </c>
      <c r="B8" s="5"/>
      <c r="C8" s="12"/>
      <c r="D8" s="15">
        <f>IF(NOT(ISBLANK($A8)),SUM(B$3:B8)-SUM(C$3:C8),"")</f>
        <v>33.849999999999909</v>
      </c>
      <c r="E8" s="5"/>
      <c r="F8" s="12">
        <v>36.159999999999997</v>
      </c>
      <c r="G8" s="15">
        <f>IF(NOT(ISBLANK($A8)),SUM(E$3:E8)-SUM(F$3:F8),"")</f>
        <v>-36.160000000000011</v>
      </c>
      <c r="H8" s="5"/>
      <c r="I8" s="12"/>
      <c r="J8" s="15">
        <f>IF(NOT(ISBLANK($A8)),SUM(H$3:H8)-SUM(I$3:I8),"")</f>
        <v>0</v>
      </c>
      <c r="K8" s="6" t="s">
        <v>53</v>
      </c>
      <c r="L8" s="19" t="s">
        <v>50</v>
      </c>
    </row>
    <row r="9" spans="1:12" x14ac:dyDescent="0.25">
      <c r="A9" s="10">
        <v>42986</v>
      </c>
      <c r="B9" s="7"/>
      <c r="C9" s="13"/>
      <c r="D9" s="16">
        <f>IF(NOT(ISBLANK($A9)),SUM(B$3:B9)-SUM(C$3:C9),"")</f>
        <v>33.849999999999909</v>
      </c>
      <c r="E9" s="7"/>
      <c r="F9" s="13">
        <v>20</v>
      </c>
      <c r="G9" s="16">
        <f>IF(NOT(ISBLANK($A9)),SUM(E$3:E9)-SUM(F$3:F9),"")</f>
        <v>-56.160000000000011</v>
      </c>
      <c r="H9" s="7"/>
      <c r="I9" s="13"/>
      <c r="J9" s="16">
        <f>IF(NOT(ISBLANK($A9)),SUM(H$3:H9)-SUM(I$3:I9),"")</f>
        <v>0</v>
      </c>
      <c r="K9" s="8" t="s">
        <v>51</v>
      </c>
      <c r="L9" s="20" t="s">
        <v>52</v>
      </c>
    </row>
    <row r="10" spans="1:12" x14ac:dyDescent="0.25">
      <c r="A10" s="10">
        <v>42989</v>
      </c>
      <c r="B10" s="7"/>
      <c r="C10" s="13">
        <v>20</v>
      </c>
      <c r="D10" s="16">
        <f>IF(NOT(ISBLANK($A10)),SUM(B$3:B10)-SUM(C$3:C10),"")</f>
        <v>13.849999999999909</v>
      </c>
      <c r="E10" s="7">
        <v>20</v>
      </c>
      <c r="F10" s="13"/>
      <c r="G10" s="16">
        <f>IF(NOT(ISBLANK($A10)),SUM(E$3:E10)-SUM(F$3:F10),"")</f>
        <v>-36.160000000000011</v>
      </c>
      <c r="H10" s="7"/>
      <c r="I10" s="13"/>
      <c r="J10" s="16">
        <f>IF(NOT(ISBLANK($A10)),SUM(H$3:H10)-SUM(I$3:I10),"")</f>
        <v>0</v>
      </c>
      <c r="K10" s="8" t="s">
        <v>14</v>
      </c>
      <c r="L10" s="20"/>
    </row>
    <row r="11" spans="1:12" x14ac:dyDescent="0.25">
      <c r="A11" s="9">
        <v>42995</v>
      </c>
      <c r="B11" s="5"/>
      <c r="C11" s="12">
        <v>128.26</v>
      </c>
      <c r="D11" s="15">
        <f>IF(NOT(ISBLANK($A11)),SUM(B$3:B11)-SUM(C$3:C11),"")</f>
        <v>-114.40999999999985</v>
      </c>
      <c r="E11" s="5">
        <v>128.26</v>
      </c>
      <c r="F11" s="12"/>
      <c r="G11" s="15">
        <f>IF(NOT(ISBLANK($A11)),SUM(E$3:E11)-SUM(F$3:F11),"")</f>
        <v>92.099999999999966</v>
      </c>
      <c r="H11" s="5"/>
      <c r="I11" s="12"/>
      <c r="J11" s="15">
        <f>IF(NOT(ISBLANK($A11)),SUM(H$3:H11)-SUM(I$3:I11),"")</f>
        <v>0</v>
      </c>
      <c r="K11" s="6" t="s">
        <v>14</v>
      </c>
      <c r="L11" s="19"/>
    </row>
    <row r="12" spans="1:12" x14ac:dyDescent="0.25">
      <c r="A12" s="9">
        <v>42996</v>
      </c>
      <c r="B12" s="5"/>
      <c r="C12" s="12"/>
      <c r="D12" s="15">
        <f>IF(NOT(ISBLANK($A12)),SUM(B$3:B12)-SUM(C$3:C12),"")</f>
        <v>-114.40999999999985</v>
      </c>
      <c r="E12" s="5"/>
      <c r="F12" s="12">
        <v>92.1</v>
      </c>
      <c r="G12" s="15">
        <f>IF(NOT(ISBLANK($A12)),SUM(E$3:E12)-SUM(F$3:F12),"")</f>
        <v>-2.8421709430404007E-14</v>
      </c>
      <c r="H12" s="5"/>
      <c r="I12" s="12"/>
      <c r="J12" s="15">
        <f>IF(NOT(ISBLANK($A12)),SUM(H$3:H12)-SUM(I$3:I12),"")</f>
        <v>0</v>
      </c>
      <c r="K12" s="6" t="s">
        <v>53</v>
      </c>
      <c r="L12" s="19" t="s">
        <v>54</v>
      </c>
    </row>
    <row r="13" spans="1:12" x14ac:dyDescent="0.25">
      <c r="A13" s="10">
        <v>42996</v>
      </c>
      <c r="B13" s="7">
        <v>950</v>
      </c>
      <c r="C13" s="13"/>
      <c r="D13" s="16">
        <f>IF(NOT(ISBLANK($A13)),SUM(B$3:B13)-SUM(C$3:C13),"")</f>
        <v>835.59000000000015</v>
      </c>
      <c r="E13" s="7"/>
      <c r="F13" s="13"/>
      <c r="G13" s="16">
        <f>IF(NOT(ISBLANK($A13)),SUM(E$3:E13)-SUM(F$3:F13),"")</f>
        <v>-2.8421709430404007E-14</v>
      </c>
      <c r="H13" s="7"/>
      <c r="I13" s="13"/>
      <c r="J13" s="16">
        <f>IF(NOT(ISBLANK($A13)),SUM(H$3:H13)-SUM(I$3:I13),"")</f>
        <v>0</v>
      </c>
      <c r="K13" s="8" t="s">
        <v>9</v>
      </c>
      <c r="L13" s="20"/>
    </row>
    <row r="14" spans="1:12" x14ac:dyDescent="0.25">
      <c r="A14" s="10">
        <v>43009</v>
      </c>
      <c r="B14" s="7"/>
      <c r="C14" s="13"/>
      <c r="D14" s="16">
        <f>IF(NOT(ISBLANK($A14)),SUM(B$3:B14)-SUM(C$3:C14),"")</f>
        <v>835.59000000000015</v>
      </c>
      <c r="E14" s="7"/>
      <c r="F14" s="13"/>
      <c r="G14" s="16">
        <f>IF(NOT(ISBLANK($A14)),SUM(E$3:E14)-SUM(F$3:F14),"")</f>
        <v>-2.8421709430404007E-14</v>
      </c>
      <c r="H14" s="7"/>
      <c r="I14" s="13">
        <v>1673.14</v>
      </c>
      <c r="J14" s="16">
        <f>IF(NOT(ISBLANK($A14)),SUM(H$3:H14)-SUM(I$3:I14),"")</f>
        <v>-1673.1399999999999</v>
      </c>
      <c r="K14" s="8" t="s">
        <v>49</v>
      </c>
      <c r="L14" s="20"/>
    </row>
    <row r="15" spans="1:12" x14ac:dyDescent="0.25">
      <c r="A15" s="9">
        <f>A14</f>
        <v>43009</v>
      </c>
      <c r="B15" s="5"/>
      <c r="C15" s="12"/>
      <c r="D15" s="15">
        <f>IF(NOT(ISBLANK($A15)),SUM(B$3:B15)-SUM(C$3:C15),"")</f>
        <v>835.59000000000015</v>
      </c>
      <c r="E15" s="5"/>
      <c r="F15" s="12">
        <v>40.630000000000003</v>
      </c>
      <c r="G15" s="15">
        <f>IF(NOT(ISBLANK($A15)),SUM(E$3:E15)-SUM(F$3:F15),"")</f>
        <v>-40.630000000000052</v>
      </c>
      <c r="H15" s="5"/>
      <c r="I15" s="12"/>
      <c r="J15" s="15">
        <f>IF(NOT(ISBLANK($A15)),SUM(H$3:H15)-SUM(I$3:I15),"")</f>
        <v>-1673.1399999999999</v>
      </c>
      <c r="K15" s="6" t="s">
        <v>53</v>
      </c>
      <c r="L15" s="19" t="s">
        <v>153</v>
      </c>
    </row>
    <row r="16" spans="1:12" x14ac:dyDescent="0.25">
      <c r="A16" s="9">
        <f>A15</f>
        <v>43009</v>
      </c>
      <c r="B16" s="5"/>
      <c r="C16" s="12">
        <v>40.630000000000003</v>
      </c>
      <c r="D16" s="15">
        <f>IF(NOT(ISBLANK($A16)),SUM(B$3:B16)-SUM(C$3:C16),"")</f>
        <v>794.96</v>
      </c>
      <c r="E16" s="5">
        <v>40.630000000000003</v>
      </c>
      <c r="F16" s="12"/>
      <c r="G16" s="15">
        <f>IF(NOT(ISBLANK($A16)),SUM(E$3:E16)-SUM(F$3:F16),"")</f>
        <v>-5.6843418860808015E-14</v>
      </c>
      <c r="H16" s="5"/>
      <c r="I16" s="12"/>
      <c r="J16" s="15">
        <f>IF(NOT(ISBLANK($A16)),SUM(H$3:H16)-SUM(I$3:I16),"")</f>
        <v>-1673.1399999999999</v>
      </c>
      <c r="K16" s="6" t="s">
        <v>18</v>
      </c>
      <c r="L16" s="19" t="s">
        <v>150</v>
      </c>
    </row>
    <row r="17" spans="1:12" x14ac:dyDescent="0.25">
      <c r="A17" s="9">
        <v>43010</v>
      </c>
      <c r="B17" s="5">
        <v>0.23</v>
      </c>
      <c r="C17" s="12"/>
      <c r="D17" s="15">
        <f>IF(NOT(ISBLANK($A17)),SUM(B$3:B17)-SUM(C$3:C17),"")</f>
        <v>795.19</v>
      </c>
      <c r="E17" s="5"/>
      <c r="F17" s="12"/>
      <c r="G17" s="15">
        <f>IF(NOT(ISBLANK($A17)),SUM(E$3:E17)-SUM(F$3:F17),"")</f>
        <v>-5.6843418860808015E-14</v>
      </c>
      <c r="H17" s="5"/>
      <c r="I17" s="12"/>
      <c r="J17" s="15">
        <f>IF(NOT(ISBLANK($A17)),SUM(H$3:H17)-SUM(I$3:I17),"")</f>
        <v>-1673.1399999999999</v>
      </c>
      <c r="K17" s="6" t="s">
        <v>37</v>
      </c>
      <c r="L17" s="19"/>
    </row>
    <row r="18" spans="1:12" x14ac:dyDescent="0.25">
      <c r="A18" s="10">
        <v>43011</v>
      </c>
      <c r="B18" s="7">
        <v>1100</v>
      </c>
      <c r="C18" s="13"/>
      <c r="D18" s="16">
        <f>IF(NOT(ISBLANK($A18)),SUM(B$3:B18)-SUM(C$3:C18),"")</f>
        <v>1895.1899999999996</v>
      </c>
      <c r="E18" s="7"/>
      <c r="F18" s="13"/>
      <c r="G18" s="16">
        <f>IF(NOT(ISBLANK($A18)),SUM(E$3:E18)-SUM(F$3:F18),"")</f>
        <v>-5.6843418860808015E-14</v>
      </c>
      <c r="H18" s="7"/>
      <c r="I18" s="13"/>
      <c r="J18" s="16">
        <f>IF(NOT(ISBLANK($A18)),SUM(H$3:H18)-SUM(I$3:I18),"")</f>
        <v>-1673.1399999999999</v>
      </c>
      <c r="K18" s="8" t="s">
        <v>9</v>
      </c>
      <c r="L18" s="20"/>
    </row>
    <row r="19" spans="1:12" x14ac:dyDescent="0.25">
      <c r="A19" s="10">
        <v>43011</v>
      </c>
      <c r="B19" s="7"/>
      <c r="C19" s="13">
        <v>1673.14</v>
      </c>
      <c r="D19" s="16">
        <f>IF(NOT(ISBLANK($A19)),SUM(B$3:B19)-SUM(C$3:C19),"")</f>
        <v>222.04999999999927</v>
      </c>
      <c r="E19" s="7"/>
      <c r="F19" s="13"/>
      <c r="G19" s="16">
        <f>IF(NOT(ISBLANK($A19)),SUM(E$3:E19)-SUM(F$3:F19),"")</f>
        <v>-5.6843418860808015E-14</v>
      </c>
      <c r="H19" s="7">
        <v>1673.14</v>
      </c>
      <c r="I19" s="13"/>
      <c r="J19" s="16">
        <f>IF(NOT(ISBLANK($A19)),SUM(H$3:H19)-SUM(I$3:I19),"")</f>
        <v>0</v>
      </c>
      <c r="K19" s="8" t="s">
        <v>14</v>
      </c>
      <c r="L19" s="20" t="s">
        <v>152</v>
      </c>
    </row>
    <row r="20" spans="1:12" x14ac:dyDescent="0.25">
      <c r="A20" s="9">
        <v>43020</v>
      </c>
      <c r="B20" s="5"/>
      <c r="C20" s="12"/>
      <c r="D20" s="15">
        <f>IF(NOT(ISBLANK($A20)),SUM(B$3:B20)-SUM(C$3:C20),"")</f>
        <v>222.04999999999927</v>
      </c>
      <c r="E20" s="5"/>
      <c r="F20" s="12">
        <v>22.01</v>
      </c>
      <c r="G20" s="15">
        <f>IF(NOT(ISBLANK($A20)),SUM(E$3:E20)-SUM(F$3:F20),"")</f>
        <v>-22.010000000000048</v>
      </c>
      <c r="H20" s="5"/>
      <c r="I20" s="12"/>
      <c r="J20" s="15">
        <f>IF(NOT(ISBLANK($A20)),SUM(H$3:H20)-SUM(I$3:I20),"")</f>
        <v>0</v>
      </c>
      <c r="K20" s="6" t="s">
        <v>53</v>
      </c>
      <c r="L20" s="19" t="s">
        <v>154</v>
      </c>
    </row>
    <row r="21" spans="1:12" x14ac:dyDescent="0.25">
      <c r="A21" s="9">
        <f ca="1">TODAY()</f>
        <v>43044</v>
      </c>
      <c r="B21" s="5"/>
      <c r="C21" s="12">
        <v>22.01</v>
      </c>
      <c r="D21" s="15">
        <f ca="1">IF(NOT(ISBLANK($A21)),SUM(B$3:B21)-SUM(C$3:C21),"")</f>
        <v>200.03999999999905</v>
      </c>
      <c r="E21" s="5">
        <v>22.01</v>
      </c>
      <c r="F21" s="12"/>
      <c r="G21" s="15">
        <f ca="1">IF(NOT(ISBLANK($A21)),SUM(E$3:E21)-SUM(F$3:F21),"")</f>
        <v>-5.6843418860808015E-14</v>
      </c>
      <c r="H21" s="5"/>
      <c r="I21" s="12"/>
      <c r="J21" s="15">
        <f ca="1">IF(NOT(ISBLANK($A21)),SUM(H$3:H21)-SUM(I$3:I21),"")</f>
        <v>0</v>
      </c>
      <c r="K21" s="6" t="s">
        <v>18</v>
      </c>
      <c r="L21" s="19"/>
    </row>
    <row r="22" spans="1:12" x14ac:dyDescent="0.25">
      <c r="A22" s="10">
        <v>43026</v>
      </c>
      <c r="B22" s="7">
        <v>1100</v>
      </c>
      <c r="C22" s="13"/>
      <c r="D22" s="16">
        <f>IF(NOT(ISBLANK($A22)),SUM(B$3:B22)-SUM(C$3:C22),"")</f>
        <v>1300.0399999999991</v>
      </c>
      <c r="E22" s="7"/>
      <c r="F22" s="13"/>
      <c r="G22" s="16">
        <f>IF(NOT(ISBLANK($A22)),SUM(E$3:E22)-SUM(F$3:F22),"")</f>
        <v>-5.6843418860808015E-14</v>
      </c>
      <c r="H22" s="7"/>
      <c r="I22" s="13"/>
      <c r="J22" s="16">
        <f>IF(NOT(ISBLANK($A22)),SUM(H$3:H22)-SUM(I$3:I22),"")</f>
        <v>0</v>
      </c>
      <c r="K22" s="8" t="s">
        <v>9</v>
      </c>
      <c r="L22" s="20"/>
    </row>
    <row r="23" spans="1:12" x14ac:dyDescent="0.25">
      <c r="A23" s="10">
        <v>43040</v>
      </c>
      <c r="B23" s="7"/>
      <c r="C23" s="13"/>
      <c r="D23" s="16">
        <f>IF(NOT(ISBLANK($A23)),SUM(B$3:B23)-SUM(C$3:C23),"")</f>
        <v>1300.0399999999991</v>
      </c>
      <c r="E23" s="7"/>
      <c r="F23" s="13"/>
      <c r="G23" s="16">
        <f>IF(NOT(ISBLANK($A23)),SUM(E$3:E23)-SUM(F$3:F23),"")</f>
        <v>-5.6843418860808015E-14</v>
      </c>
      <c r="H23" s="7"/>
      <c r="I23" s="13">
        <v>1673.14</v>
      </c>
      <c r="J23" s="16">
        <f>IF(NOT(ISBLANK($A23)),SUM(H$3:H23)-SUM(I$3:I23),"")</f>
        <v>-1673.1400000000003</v>
      </c>
      <c r="K23" s="8" t="s">
        <v>49</v>
      </c>
      <c r="L23" s="20"/>
    </row>
    <row r="24" spans="1:12" x14ac:dyDescent="0.25">
      <c r="A24" s="9">
        <v>43040</v>
      </c>
      <c r="B24" s="5">
        <v>0.47</v>
      </c>
      <c r="C24" s="12"/>
      <c r="D24" s="15">
        <f>IF(NOT(ISBLANK($A24)),SUM(B$3:B24)-SUM(C$3:C24),"")</f>
        <v>1300.5099999999993</v>
      </c>
      <c r="E24" s="5"/>
      <c r="F24" s="12"/>
      <c r="G24" s="15">
        <f>IF(NOT(ISBLANK($A24)),SUM(E$3:E24)-SUM(F$3:F24),"")</f>
        <v>-5.6843418860808015E-14</v>
      </c>
      <c r="H24" s="5"/>
      <c r="I24" s="12"/>
      <c r="J24" s="15">
        <f>IF(NOT(ISBLANK($A24)),SUM(H$3:H24)-SUM(I$3:I24),"")</f>
        <v>-1673.1400000000003</v>
      </c>
      <c r="K24" s="6" t="s">
        <v>37</v>
      </c>
      <c r="L24" s="19"/>
    </row>
    <row r="25" spans="1:12" x14ac:dyDescent="0.25">
      <c r="A25" s="9">
        <v>43041</v>
      </c>
      <c r="B25" s="5">
        <v>975</v>
      </c>
      <c r="C25" s="12"/>
      <c r="D25" s="15">
        <f>IF(NOT(ISBLANK($A25)),SUM(B$3:B25)-SUM(C$3:C25),"")</f>
        <v>2275.5099999999993</v>
      </c>
      <c r="E25" s="5"/>
      <c r="F25" s="12"/>
      <c r="G25" s="15">
        <f>IF(NOT(ISBLANK($A25)),SUM(E$3:E25)-SUM(F$3:F25),"")</f>
        <v>-5.6843418860808015E-14</v>
      </c>
      <c r="H25" s="5"/>
      <c r="I25" s="12"/>
      <c r="J25" s="15">
        <f>IF(NOT(ISBLANK($A25)),SUM(H$3:H25)-SUM(I$3:I25),"")</f>
        <v>-1673.1400000000003</v>
      </c>
      <c r="K25" s="6" t="s">
        <v>9</v>
      </c>
      <c r="L25" s="19"/>
    </row>
    <row r="26" spans="1:12" x14ac:dyDescent="0.25">
      <c r="A26" s="10">
        <v>43044</v>
      </c>
      <c r="B26" s="7"/>
      <c r="C26" s="13">
        <v>1673.14</v>
      </c>
      <c r="D26" s="16">
        <f>IF(NOT(ISBLANK($A26)),SUM(B$3:B26)-SUM(C$3:C26),"")</f>
        <v>602.36999999999898</v>
      </c>
      <c r="E26" s="7"/>
      <c r="F26" s="13"/>
      <c r="G26" s="16">
        <f>IF(NOT(ISBLANK($A26)),SUM(E$3:E26)-SUM(F$3:F26),"")</f>
        <v>-5.6843418860808015E-14</v>
      </c>
      <c r="H26" s="7">
        <v>1673.14</v>
      </c>
      <c r="I26" s="13"/>
      <c r="J26" s="16">
        <f>IF(NOT(ISBLANK($A26)),SUM(H$3:H26)-SUM(I$3:I26),"")</f>
        <v>0</v>
      </c>
      <c r="K26" s="8"/>
      <c r="L26" s="20"/>
    </row>
    <row r="27" spans="1:12" x14ac:dyDescent="0.25">
      <c r="A27" s="10"/>
      <c r="B27" s="7"/>
      <c r="C27" s="13"/>
      <c r="D27" s="16" t="str">
        <f>IF(NOT(ISBLANK($A27)),SUM(B$3:B27)-SUM(C$3:C27),"")</f>
        <v/>
      </c>
      <c r="E27" s="7"/>
      <c r="F27" s="13"/>
      <c r="G27" s="16" t="str">
        <f>IF(NOT(ISBLANK($A27)),SUM(E$3:E27)-SUM(F$3:F27),"")</f>
        <v/>
      </c>
      <c r="H27" s="7"/>
      <c r="I27" s="13"/>
      <c r="J27" s="16" t="str">
        <f>IF(NOT(ISBLANK($A27)),SUM(H$3:H27)-SUM(I$3:I27),"")</f>
        <v/>
      </c>
      <c r="K27" s="8"/>
      <c r="L27" s="20"/>
    </row>
    <row r="28" spans="1:12" x14ac:dyDescent="0.25">
      <c r="A28" s="9"/>
      <c r="B28" s="5"/>
      <c r="C28" s="12"/>
      <c r="D28" s="15" t="str">
        <f>IF(NOT(ISBLANK($A28)),SUM(B$3:B28)-SUM(C$3:C28),"")</f>
        <v/>
      </c>
      <c r="E28" s="5"/>
      <c r="F28" s="12"/>
      <c r="G28" s="15" t="str">
        <f>IF(NOT(ISBLANK($A28)),SUM(E$3:E28)-SUM(F$3:F28),"")</f>
        <v/>
      </c>
      <c r="H28" s="5"/>
      <c r="I28" s="12"/>
      <c r="J28" s="15" t="str">
        <f>IF(NOT(ISBLANK($A28)),SUM(H$3:H28)-SUM(I$3:I28),"")</f>
        <v/>
      </c>
      <c r="K28" s="6"/>
      <c r="L28" s="19"/>
    </row>
    <row r="29" spans="1:12" x14ac:dyDescent="0.25">
      <c r="A29" s="9"/>
      <c r="B29" s="5"/>
      <c r="C29" s="12"/>
      <c r="D29" s="15" t="str">
        <f>IF(NOT(ISBLANK($A29)),SUM(B$3:B29)-SUM(C$3:C29),"")</f>
        <v/>
      </c>
      <c r="E29" s="5"/>
      <c r="F29" s="12"/>
      <c r="G29" s="15" t="str">
        <f>IF(NOT(ISBLANK($A29)),SUM(E$3:E29)-SUM(F$3:F29),"")</f>
        <v/>
      </c>
      <c r="H29" s="5"/>
      <c r="I29" s="12"/>
      <c r="J29" s="15" t="str">
        <f>IF(NOT(ISBLANK($A29)),SUM(H$3:H29)-SUM(I$3:I29),"")</f>
        <v/>
      </c>
      <c r="K29" s="6"/>
      <c r="L29" s="19"/>
    </row>
    <row r="30" spans="1:12" x14ac:dyDescent="0.25">
      <c r="A30" s="10"/>
      <c r="B30" s="7"/>
      <c r="C30" s="13"/>
      <c r="D30" s="16" t="str">
        <f>IF(NOT(ISBLANK($A30)),SUM(B$3:B30)-SUM(C$3:C30),"")</f>
        <v/>
      </c>
      <c r="E30" s="7"/>
      <c r="F30" s="13"/>
      <c r="G30" s="16" t="str">
        <f>IF(NOT(ISBLANK($A30)),SUM(E$3:E30)-SUM(F$3:F30),"")</f>
        <v/>
      </c>
      <c r="H30" s="7"/>
      <c r="I30" s="13"/>
      <c r="J30" s="16" t="str">
        <f>IF(NOT(ISBLANK($A30)),SUM(H$3:H30)-SUM(I$3:I30),"")</f>
        <v/>
      </c>
      <c r="K30" s="8"/>
      <c r="L30" s="20"/>
    </row>
    <row r="31" spans="1:12" x14ac:dyDescent="0.25">
      <c r="A31" s="10"/>
      <c r="B31" s="7"/>
      <c r="C31" s="13"/>
      <c r="D31" s="16" t="str">
        <f>IF(NOT(ISBLANK($A31)),SUM(B$3:B31)-SUM(C$3:C31),"")</f>
        <v/>
      </c>
      <c r="E31" s="7"/>
      <c r="F31" s="13"/>
      <c r="G31" s="16" t="str">
        <f>IF(NOT(ISBLANK($A31)),SUM(E$3:E31)-SUM(F$3:F31),"")</f>
        <v/>
      </c>
      <c r="H31" s="7"/>
      <c r="I31" s="13"/>
      <c r="J31" s="16" t="str">
        <f>IF(NOT(ISBLANK($A31)),SUM(H$3:H31)-SUM(I$3:I31),"")</f>
        <v/>
      </c>
      <c r="K31" s="8"/>
      <c r="L31" s="20"/>
    </row>
    <row r="32" spans="1:12" x14ac:dyDescent="0.25">
      <c r="A32" s="9"/>
      <c r="B32" s="5"/>
      <c r="C32" s="12"/>
      <c r="D32" s="15" t="str">
        <f>IF(NOT(ISBLANK($A32)),SUM(B$3:B32)-SUM(C$3:C32),"")</f>
        <v/>
      </c>
      <c r="E32" s="5"/>
      <c r="F32" s="12"/>
      <c r="G32" s="15" t="str">
        <f>IF(NOT(ISBLANK($A32)),SUM(E$3:E32)-SUM(F$3:F32),"")</f>
        <v/>
      </c>
      <c r="H32" s="5"/>
      <c r="I32" s="12"/>
      <c r="J32" s="15" t="str">
        <f>IF(NOT(ISBLANK($A32)),SUM(H$3:H32)-SUM(I$3:I32),"")</f>
        <v/>
      </c>
      <c r="K32" s="6"/>
      <c r="L32" s="19"/>
    </row>
    <row r="33" spans="1:12" x14ac:dyDescent="0.25">
      <c r="A33" s="9"/>
      <c r="B33" s="5"/>
      <c r="C33" s="12"/>
      <c r="D33" s="15" t="str">
        <f>IF(NOT(ISBLANK($A33)),SUM(B$3:B33)-SUM(C$3:C33),"")</f>
        <v/>
      </c>
      <c r="E33" s="5"/>
      <c r="F33" s="12"/>
      <c r="G33" s="15" t="str">
        <f>IF(NOT(ISBLANK($A33)),SUM(E$3:E33)-SUM(F$3:F33),"")</f>
        <v/>
      </c>
      <c r="H33" s="5"/>
      <c r="I33" s="12"/>
      <c r="J33" s="15" t="str">
        <f>IF(NOT(ISBLANK($A33)),SUM(H$3:H33)-SUM(I$3:I33),"")</f>
        <v/>
      </c>
      <c r="K33" s="6"/>
      <c r="L33" s="19"/>
    </row>
    <row r="34" spans="1:12" x14ac:dyDescent="0.25">
      <c r="A34" s="10"/>
      <c r="B34" s="7"/>
      <c r="C34" s="13"/>
      <c r="D34" s="16" t="str">
        <f>IF(NOT(ISBLANK($A34)),SUM(B$3:B34)-SUM(C$3:C34),"")</f>
        <v/>
      </c>
      <c r="E34" s="7"/>
      <c r="F34" s="13"/>
      <c r="G34" s="16" t="str">
        <f>IF(NOT(ISBLANK($A34)),SUM(E$3:E34)-SUM(F$3:F34),"")</f>
        <v/>
      </c>
      <c r="H34" s="7"/>
      <c r="I34" s="13"/>
      <c r="J34" s="16" t="str">
        <f>IF(NOT(ISBLANK($A34)),SUM(H$3:H34)-SUM(I$3:I34),"")</f>
        <v/>
      </c>
      <c r="K34" s="8"/>
      <c r="L34" s="20"/>
    </row>
    <row r="35" spans="1:12" x14ac:dyDescent="0.25">
      <c r="A35" s="10"/>
      <c r="B35" s="7"/>
      <c r="C35" s="13"/>
      <c r="D35" s="16" t="str">
        <f>IF(NOT(ISBLANK($A35)),SUM(B$3:B35)-SUM(C$3:C35),"")</f>
        <v/>
      </c>
      <c r="E35" s="7"/>
      <c r="F35" s="13"/>
      <c r="G35" s="16" t="str">
        <f>IF(NOT(ISBLANK($A35)),SUM(E$3:E35)-SUM(F$3:F35),"")</f>
        <v/>
      </c>
      <c r="H35" s="7"/>
      <c r="I35" s="13"/>
      <c r="J35" s="16" t="str">
        <f>IF(NOT(ISBLANK($A35)),SUM(H$3:H35)-SUM(I$3:I35),"")</f>
        <v/>
      </c>
      <c r="K35" s="8"/>
      <c r="L35" s="20"/>
    </row>
    <row r="36" spans="1:12" x14ac:dyDescent="0.25">
      <c r="A36" s="9"/>
      <c r="B36" s="5"/>
      <c r="C36" s="12"/>
      <c r="D36" s="15" t="str">
        <f>IF(NOT(ISBLANK($A36)),SUM(B$3:B36)-SUM(C$3:C36),"")</f>
        <v/>
      </c>
      <c r="E36" s="5"/>
      <c r="F36" s="12"/>
      <c r="G36" s="15" t="str">
        <f>IF(NOT(ISBLANK($A36)),SUM(E$3:E36)-SUM(F$3:F36),"")</f>
        <v/>
      </c>
      <c r="H36" s="5"/>
      <c r="I36" s="12"/>
      <c r="J36" s="15" t="str">
        <f>IF(NOT(ISBLANK($A36)),SUM(H$3:H36)-SUM(I$3:I36),"")</f>
        <v/>
      </c>
      <c r="K36" s="6"/>
      <c r="L36" s="19"/>
    </row>
    <row r="37" spans="1:12" x14ac:dyDescent="0.25">
      <c r="A37" s="9"/>
      <c r="B37" s="5"/>
      <c r="C37" s="12"/>
      <c r="D37" s="15" t="str">
        <f>IF(NOT(ISBLANK($A37)),SUM(B$3:B37)-SUM(C$3:C37),"")</f>
        <v/>
      </c>
      <c r="E37" s="5"/>
      <c r="F37" s="12"/>
      <c r="G37" s="15" t="str">
        <f>IF(NOT(ISBLANK($A37)),SUM(E$3:E37)-SUM(F$3:F37),"")</f>
        <v/>
      </c>
      <c r="H37" s="5"/>
      <c r="I37" s="12"/>
      <c r="J37" s="15" t="str">
        <f>IF(NOT(ISBLANK($A37)),SUM(H$3:H37)-SUM(I$3:I37),"")</f>
        <v/>
      </c>
      <c r="K37" s="6"/>
      <c r="L37" s="19"/>
    </row>
    <row r="38" spans="1:12" x14ac:dyDescent="0.25">
      <c r="A38" s="10"/>
      <c r="B38" s="7"/>
      <c r="C38" s="13"/>
      <c r="D38" s="16" t="str">
        <f>IF(NOT(ISBLANK($A38)),SUM(B$3:B38)-SUM(C$3:C38),"")</f>
        <v/>
      </c>
      <c r="E38" s="7"/>
      <c r="F38" s="13"/>
      <c r="G38" s="16" t="str">
        <f>IF(NOT(ISBLANK($A38)),SUM(E$3:E38)-SUM(F$3:F38),"")</f>
        <v/>
      </c>
      <c r="H38" s="7"/>
      <c r="I38" s="13"/>
      <c r="J38" s="16" t="str">
        <f>IF(NOT(ISBLANK($A38)),SUM(H$3:H38)-SUM(I$3:I38),"")</f>
        <v/>
      </c>
      <c r="K38" s="8"/>
      <c r="L38" s="20"/>
    </row>
    <row r="39" spans="1:12" x14ac:dyDescent="0.25">
      <c r="A39" s="10"/>
      <c r="B39" s="7"/>
      <c r="C39" s="13"/>
      <c r="D39" s="16" t="str">
        <f>IF(NOT(ISBLANK($A39)),SUM(B$3:B39)-SUM(C$3:C39),"")</f>
        <v/>
      </c>
      <c r="E39" s="7"/>
      <c r="F39" s="13"/>
      <c r="G39" s="16" t="str">
        <f>IF(NOT(ISBLANK($A39)),SUM(E$3:E39)-SUM(F$3:F39),"")</f>
        <v/>
      </c>
      <c r="H39" s="7"/>
      <c r="I39" s="13"/>
      <c r="J39" s="16" t="str">
        <f>IF(NOT(ISBLANK($A39)),SUM(H$3:H39)-SUM(I$3:I39),"")</f>
        <v/>
      </c>
      <c r="K39" s="8"/>
      <c r="L39" s="20"/>
    </row>
    <row r="40" spans="1:12" x14ac:dyDescent="0.25">
      <c r="A40" s="9"/>
      <c r="B40" s="5"/>
      <c r="C40" s="12"/>
      <c r="D40" s="15" t="str">
        <f>IF(NOT(ISBLANK($A40)),SUM(B$3:B40)-SUM(C$3:C40),"")</f>
        <v/>
      </c>
      <c r="E40" s="5"/>
      <c r="F40" s="12"/>
      <c r="G40" s="15" t="str">
        <f>IF(NOT(ISBLANK($A40)),SUM(E$3:E40)-SUM(F$3:F40),"")</f>
        <v/>
      </c>
      <c r="H40" s="5"/>
      <c r="I40" s="12"/>
      <c r="J40" s="15" t="str">
        <f>IF(NOT(ISBLANK($A40)),SUM(H$3:H40)-SUM(I$3:I40),"")</f>
        <v/>
      </c>
      <c r="K40" s="6"/>
      <c r="L40" s="19"/>
    </row>
    <row r="41" spans="1:12" x14ac:dyDescent="0.25">
      <c r="A41" s="9"/>
      <c r="B41" s="5"/>
      <c r="C41" s="12"/>
      <c r="D41" s="15" t="str">
        <f>IF(NOT(ISBLANK($A41)),SUM(B$3:B41)-SUM(C$3:C41),"")</f>
        <v/>
      </c>
      <c r="E41" s="5"/>
      <c r="F41" s="12"/>
      <c r="G41" s="15" t="str">
        <f>IF(NOT(ISBLANK($A41)),SUM(E$3:E41)-SUM(F$3:F41),"")</f>
        <v/>
      </c>
      <c r="H41" s="5"/>
      <c r="I41" s="12"/>
      <c r="J41" s="15" t="str">
        <f>IF(NOT(ISBLANK($A41)),SUM(H$3:H41)-SUM(I$3:I41),"")</f>
        <v/>
      </c>
      <c r="K41" s="6"/>
      <c r="L41" s="19"/>
    </row>
    <row r="42" spans="1:12" x14ac:dyDescent="0.25">
      <c r="A42" s="10"/>
      <c r="B42" s="7"/>
      <c r="C42" s="13"/>
      <c r="D42" s="16" t="str">
        <f>IF(NOT(ISBLANK($A42)),SUM(B$3:B42)-SUM(C$3:C42),"")</f>
        <v/>
      </c>
      <c r="E42" s="7"/>
      <c r="F42" s="13"/>
      <c r="G42" s="16" t="str">
        <f>IF(NOT(ISBLANK($A42)),SUM(E$3:E42)-SUM(F$3:F42),"")</f>
        <v/>
      </c>
      <c r="H42" s="7"/>
      <c r="I42" s="13"/>
      <c r="J42" s="16" t="str">
        <f>IF(NOT(ISBLANK($A42)),SUM(H$3:H42)-SUM(I$3:I42),"")</f>
        <v/>
      </c>
      <c r="K42" s="8"/>
      <c r="L42" s="20"/>
    </row>
    <row r="43" spans="1:12" ht="15.75" thickBot="1" x14ac:dyDescent="0.3">
      <c r="A43" s="10"/>
      <c r="B43" s="7"/>
      <c r="C43" s="13"/>
      <c r="D43" s="16" t="str">
        <f>IF(NOT(ISBLANK($A43)),SUM(B$3:B43)-SUM(C$3:C43),"")</f>
        <v/>
      </c>
      <c r="E43" s="7"/>
      <c r="F43" s="13"/>
      <c r="G43" s="16" t="str">
        <f>IF(NOT(ISBLANK($A43)),SUM(E$3:E43)-SUM(F$3:F43),"")</f>
        <v/>
      </c>
      <c r="H43" s="7"/>
      <c r="I43" s="13"/>
      <c r="J43" s="16" t="str">
        <f>IF(NOT(ISBLANK($A43)),SUM(H$3:H43)-SUM(I$3:I43),"")</f>
        <v/>
      </c>
      <c r="K43" s="8"/>
      <c r="L43" s="20"/>
    </row>
    <row r="44" spans="1:12" ht="19.5" thickBot="1" x14ac:dyDescent="0.35">
      <c r="A44" s="113"/>
      <c r="B44" s="115" t="s">
        <v>36</v>
      </c>
      <c r="C44" s="114"/>
      <c r="D44" s="116">
        <f>SUM(B$3:B43)-SUM(C$3:C43)</f>
        <v>602.36999999999898</v>
      </c>
      <c r="E44" s="115" t="s">
        <v>36</v>
      </c>
      <c r="F44" s="114"/>
      <c r="G44" s="116">
        <f>SUM(E$3:E43)-SUM(F$3:F43)</f>
        <v>0</v>
      </c>
      <c r="H44" s="115" t="s">
        <v>36</v>
      </c>
      <c r="I44" s="114"/>
      <c r="J44" s="116">
        <f>SUM(H$3:H43)-SUM(I$3:I43)</f>
        <v>0</v>
      </c>
      <c r="K44" s="113"/>
      <c r="L44" s="113"/>
    </row>
  </sheetData>
  <mergeCells count="6">
    <mergeCell ref="L1:L2"/>
    <mergeCell ref="E1:G1"/>
    <mergeCell ref="A1:A2"/>
    <mergeCell ref="B1:D1"/>
    <mergeCell ref="H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41"/>
  <sheetViews>
    <sheetView topLeftCell="A4" workbookViewId="0">
      <selection activeCell="A44" sqref="A44"/>
    </sheetView>
  </sheetViews>
  <sheetFormatPr defaultRowHeight="15" x14ac:dyDescent="0.25"/>
  <cols>
    <col min="1" max="1" width="27.5703125" bestFit="1" customWidth="1"/>
    <col min="2" max="3" width="8" bestFit="1" customWidth="1"/>
    <col min="4" max="4" width="10.5703125" bestFit="1" customWidth="1"/>
    <col min="5" max="6" width="8" bestFit="1" customWidth="1"/>
    <col min="7" max="7" width="7.85546875" bestFit="1" customWidth="1"/>
    <col min="8" max="9" width="8" bestFit="1" customWidth="1"/>
    <col min="10" max="10" width="7.85546875" bestFit="1" customWidth="1"/>
    <col min="11" max="11" width="8.7109375" bestFit="1" customWidth="1"/>
    <col min="12" max="12" width="20.85546875" bestFit="1" customWidth="1"/>
    <col min="13" max="13" width="18.5703125" bestFit="1" customWidth="1"/>
  </cols>
  <sheetData>
    <row r="1" spans="1:13" x14ac:dyDescent="0.25">
      <c r="A1" s="122" t="s">
        <v>0</v>
      </c>
      <c r="B1" s="124" t="s">
        <v>1</v>
      </c>
      <c r="C1" s="125"/>
      <c r="D1" s="126"/>
      <c r="E1" s="124" t="s">
        <v>147</v>
      </c>
      <c r="F1" s="125"/>
      <c r="G1" s="126"/>
      <c r="H1" s="124" t="s">
        <v>2</v>
      </c>
      <c r="I1" s="125"/>
      <c r="J1" s="126"/>
      <c r="K1" s="122" t="s">
        <v>131</v>
      </c>
      <c r="L1" s="122" t="s">
        <v>3</v>
      </c>
      <c r="M1" s="127" t="s">
        <v>151</v>
      </c>
    </row>
    <row r="2" spans="1:13" x14ac:dyDescent="0.25">
      <c r="A2" s="123"/>
      <c r="B2" s="3" t="s">
        <v>4</v>
      </c>
      <c r="C2" s="11" t="s">
        <v>5</v>
      </c>
      <c r="D2" s="4" t="s">
        <v>36</v>
      </c>
      <c r="E2" s="3" t="s">
        <v>4</v>
      </c>
      <c r="F2" s="11" t="s">
        <v>5</v>
      </c>
      <c r="G2" s="4" t="s">
        <v>36</v>
      </c>
      <c r="H2" s="3" t="s">
        <v>4</v>
      </c>
      <c r="I2" s="11" t="s">
        <v>5</v>
      </c>
      <c r="J2" s="4" t="s">
        <v>36</v>
      </c>
      <c r="K2" s="123"/>
      <c r="L2" s="123"/>
      <c r="M2" s="128"/>
    </row>
    <row r="3" spans="1:13" x14ac:dyDescent="0.25">
      <c r="A3" s="9">
        <v>43009</v>
      </c>
      <c r="B3" s="5"/>
      <c r="C3" s="12"/>
      <c r="D3" s="15">
        <f>IF(NOT(ISBLANK($A3)),SUM(B$3:B3)-SUM(C$3:C3),"")</f>
        <v>0</v>
      </c>
      <c r="E3" s="5"/>
      <c r="F3" s="12">
        <v>45.188699999999997</v>
      </c>
      <c r="G3" s="15">
        <f>IF(NOT(ISBLANK($A3)),SUM(E$3:E3)-SUM(F$3:F3),"")</f>
        <v>-45.188699999999997</v>
      </c>
      <c r="H3" s="5"/>
      <c r="I3" s="12"/>
      <c r="J3" s="15">
        <f>IF(NOT(ISBLANK($A3)),SUM(H$3:H3)-SUM(I$3:I3),"")</f>
        <v>0</v>
      </c>
      <c r="K3" s="6" t="b">
        <v>0</v>
      </c>
      <c r="L3" s="6" t="s">
        <v>148</v>
      </c>
      <c r="M3" s="6" t="s">
        <v>150</v>
      </c>
    </row>
    <row r="4" spans="1:13" x14ac:dyDescent="0.25">
      <c r="A4" s="9">
        <v>43011</v>
      </c>
      <c r="B4" s="5">
        <v>75</v>
      </c>
      <c r="C4" s="12"/>
      <c r="D4" s="15">
        <f>IF(NOT(ISBLANK($A4)),SUM(B$3:B4)-SUM(C$3:C4),"")</f>
        <v>75</v>
      </c>
      <c r="E4" s="5"/>
      <c r="F4" s="12"/>
      <c r="G4" s="15">
        <f>IF(NOT(ISBLANK($A4)),SUM(E$3:E4)-SUM(F$3:F4),"")</f>
        <v>-45.188699999999997</v>
      </c>
      <c r="H4" s="5"/>
      <c r="I4" s="12"/>
      <c r="J4" s="15">
        <f>IF(NOT(ISBLANK($A4)),SUM(H$3:H4)-SUM(I$3:I4),"")</f>
        <v>0</v>
      </c>
      <c r="K4" s="6" t="b">
        <v>1</v>
      </c>
      <c r="L4" s="6" t="s">
        <v>9</v>
      </c>
      <c r="M4" s="6"/>
    </row>
    <row r="5" spans="1:13" x14ac:dyDescent="0.25">
      <c r="A5" s="10">
        <v>43011</v>
      </c>
      <c r="B5" s="7"/>
      <c r="C5" s="13">
        <v>45.19</v>
      </c>
      <c r="D5" s="16">
        <f>IF(NOT(ISBLANK($A5)),SUM(B$3:B5)-SUM(C$3:C5),"")</f>
        <v>29.810000000000002</v>
      </c>
      <c r="E5" s="7">
        <v>45.19</v>
      </c>
      <c r="F5" s="13"/>
      <c r="G5" s="16">
        <f>IF(NOT(ISBLANK($A5)),SUM(E$3:E5)-SUM(F$3:F5),"")</f>
        <v>1.300000000000523E-3</v>
      </c>
      <c r="H5" s="7"/>
      <c r="I5" s="13"/>
      <c r="J5" s="16">
        <f>IF(NOT(ISBLANK($A5)),SUM(H$3:H5)-SUM(I$3:I5),"")</f>
        <v>0</v>
      </c>
      <c r="K5" s="8"/>
      <c r="L5" s="8" t="s">
        <v>149</v>
      </c>
      <c r="M5" s="8" t="s">
        <v>150</v>
      </c>
    </row>
    <row r="6" spans="1:13" x14ac:dyDescent="0.25">
      <c r="A6" s="10">
        <v>43026</v>
      </c>
      <c r="B6" s="7">
        <v>75</v>
      </c>
      <c r="C6" s="13"/>
      <c r="D6" s="16">
        <f>IF(NOT(ISBLANK($A6)),SUM(B$3:B6)-SUM(C$3:C6),"")</f>
        <v>104.81</v>
      </c>
      <c r="E6" s="7"/>
      <c r="F6" s="13"/>
      <c r="G6" s="16">
        <f>IF(NOT(ISBLANK($A6)),SUM(E$3:E6)-SUM(F$3:F6),"")</f>
        <v>1.300000000000523E-3</v>
      </c>
      <c r="H6" s="7"/>
      <c r="I6" s="13"/>
      <c r="J6" s="16">
        <f>IF(NOT(ISBLANK($A6)),SUM(H$3:H6)-SUM(I$3:I6),"")</f>
        <v>0</v>
      </c>
      <c r="K6" s="8"/>
      <c r="L6" s="8" t="s">
        <v>9</v>
      </c>
      <c r="M6" s="8"/>
    </row>
    <row r="7" spans="1:13" x14ac:dyDescent="0.25">
      <c r="A7" s="10"/>
      <c r="B7" s="7"/>
      <c r="C7" s="13"/>
      <c r="D7" s="16" t="str">
        <f>IF(NOT(ISBLANK($A7)),SUM(B$3:B7)-SUM(C$3:C7),"")</f>
        <v/>
      </c>
      <c r="E7" s="7"/>
      <c r="F7" s="13"/>
      <c r="G7" s="16" t="str">
        <f>IF(NOT(ISBLANK($A7)),SUM(E$3:E7)-SUM(F$3:F7),"")</f>
        <v/>
      </c>
      <c r="H7" s="7"/>
      <c r="I7" s="13"/>
      <c r="J7" s="16" t="str">
        <f>IF(NOT(ISBLANK($A7)),SUM(H$3:H7)-SUM(I$3:I7),"")</f>
        <v/>
      </c>
      <c r="K7" s="8"/>
      <c r="L7" s="8"/>
      <c r="M7" s="8"/>
    </row>
    <row r="8" spans="1:13" x14ac:dyDescent="0.25">
      <c r="A8" s="9"/>
      <c r="B8" s="5"/>
      <c r="C8" s="12"/>
      <c r="D8" s="15" t="str">
        <f>IF(NOT(ISBLANK($A8)),SUM(B$3:B8)-SUM(C$3:C8),"")</f>
        <v/>
      </c>
      <c r="E8" s="5"/>
      <c r="F8" s="12"/>
      <c r="G8" s="15" t="str">
        <f>IF(NOT(ISBLANK($A8)),SUM(E$3:E8)-SUM(F$3:F8),"")</f>
        <v/>
      </c>
      <c r="H8" s="5"/>
      <c r="I8" s="12"/>
      <c r="J8" s="15" t="str">
        <f>IF(NOT(ISBLANK($A8)),SUM(H$3:H8)-SUM(I$3:I8),"")</f>
        <v/>
      </c>
      <c r="K8" s="6"/>
      <c r="L8" s="6"/>
      <c r="M8" s="6"/>
    </row>
    <row r="9" spans="1:13" x14ac:dyDescent="0.25">
      <c r="A9" s="9"/>
      <c r="B9" s="5"/>
      <c r="C9" s="12"/>
      <c r="D9" s="15" t="str">
        <f>IF(NOT(ISBLANK($A9)),SUM(B$3:B9)-SUM(C$3:C9),"")</f>
        <v/>
      </c>
      <c r="E9" s="5"/>
      <c r="F9" s="12"/>
      <c r="G9" s="15" t="str">
        <f>IF(NOT(ISBLANK($A9)),SUM(E$3:E9)-SUM(F$3:F9),"")</f>
        <v/>
      </c>
      <c r="H9" s="5"/>
      <c r="I9" s="12"/>
      <c r="J9" s="15" t="str">
        <f>IF(NOT(ISBLANK($A9)),SUM(H$3:H9)-SUM(I$3:I9),"")</f>
        <v/>
      </c>
      <c r="K9" s="6"/>
      <c r="L9" s="6"/>
      <c r="M9" s="6"/>
    </row>
    <row r="10" spans="1:13" x14ac:dyDescent="0.25">
      <c r="A10" s="10"/>
      <c r="B10" s="7"/>
      <c r="C10" s="13"/>
      <c r="D10" s="16" t="str">
        <f>IF(NOT(ISBLANK($A10)),SUM(B$3:B10)-SUM(C$3:C10),"")</f>
        <v/>
      </c>
      <c r="E10" s="7"/>
      <c r="F10" s="13"/>
      <c r="G10" s="16" t="str">
        <f>IF(NOT(ISBLANK($A10)),SUM(E$3:E10)-SUM(F$3:F10),"")</f>
        <v/>
      </c>
      <c r="H10" s="7"/>
      <c r="I10" s="13"/>
      <c r="J10" s="16" t="str">
        <f>IF(NOT(ISBLANK($A10)),SUM(H$3:H10)-SUM(I$3:I10),"")</f>
        <v/>
      </c>
      <c r="K10" s="8"/>
      <c r="L10" s="8"/>
      <c r="M10" s="8"/>
    </row>
    <row r="11" spans="1:13" x14ac:dyDescent="0.25">
      <c r="A11" s="10"/>
      <c r="B11" s="7"/>
      <c r="C11" s="13"/>
      <c r="D11" s="16" t="str">
        <f>IF(NOT(ISBLANK($A11)),SUM(B$3:B11)-SUM(C$3:C11),"")</f>
        <v/>
      </c>
      <c r="E11" s="7"/>
      <c r="F11" s="13"/>
      <c r="G11" s="16" t="str">
        <f>IF(NOT(ISBLANK($A11)),SUM(E$3:E11)-SUM(F$3:F11),"")</f>
        <v/>
      </c>
      <c r="H11" s="7"/>
      <c r="I11" s="13"/>
      <c r="J11" s="16" t="str">
        <f>IF(NOT(ISBLANK($A11)),SUM(H$3:H11)-SUM(I$3:I11),"")</f>
        <v/>
      </c>
      <c r="K11" s="8"/>
      <c r="L11" s="8"/>
      <c r="M11" s="8"/>
    </row>
    <row r="12" spans="1:13" x14ac:dyDescent="0.25">
      <c r="A12" s="10"/>
      <c r="B12" s="7"/>
      <c r="C12" s="13"/>
      <c r="D12" s="16" t="str">
        <f>IF(NOT(ISBLANK($A12)),SUM(B$3:B12)-SUM(C$3:C12),"")</f>
        <v/>
      </c>
      <c r="E12" s="7"/>
      <c r="F12" s="13"/>
      <c r="G12" s="16" t="str">
        <f>IF(NOT(ISBLANK($A12)),SUM(E$3:E12)-SUM(F$3:F12),"")</f>
        <v/>
      </c>
      <c r="H12" s="7"/>
      <c r="I12" s="13"/>
      <c r="J12" s="16" t="str">
        <f>IF(NOT(ISBLANK($A12)),SUM(H$3:H12)-SUM(I$3:I12),"")</f>
        <v/>
      </c>
      <c r="K12" s="8"/>
      <c r="L12" s="8"/>
      <c r="M12" s="8"/>
    </row>
    <row r="13" spans="1:13" x14ac:dyDescent="0.25">
      <c r="A13" s="9"/>
      <c r="B13" s="5"/>
      <c r="C13" s="12"/>
      <c r="D13" s="15" t="str">
        <f>IF(NOT(ISBLANK($A13)),SUM(B$3:B13)-SUM(C$3:C13),"")</f>
        <v/>
      </c>
      <c r="E13" s="5"/>
      <c r="F13" s="12"/>
      <c r="G13" s="15" t="str">
        <f>IF(NOT(ISBLANK($A13)),SUM(E$3:E13)-SUM(F$3:F13),"")</f>
        <v/>
      </c>
      <c r="H13" s="5"/>
      <c r="I13" s="12"/>
      <c r="J13" s="15" t="str">
        <f>IF(NOT(ISBLANK($A13)),SUM(H$3:H13)-SUM(I$3:I13),"")</f>
        <v/>
      </c>
      <c r="K13" s="6"/>
      <c r="L13" s="6"/>
      <c r="M13" s="6"/>
    </row>
    <row r="14" spans="1:13" x14ac:dyDescent="0.25">
      <c r="A14" s="9"/>
      <c r="B14" s="5"/>
      <c r="C14" s="12"/>
      <c r="D14" s="15" t="str">
        <f>IF(NOT(ISBLANK($A14)),SUM(B$3:B14)-SUM(C$3:C14),"")</f>
        <v/>
      </c>
      <c r="E14" s="5"/>
      <c r="F14" s="12"/>
      <c r="G14" s="15" t="str">
        <f>IF(NOT(ISBLANK($A14)),SUM(E$3:E14)-SUM(F$3:F14),"")</f>
        <v/>
      </c>
      <c r="H14" s="5"/>
      <c r="I14" s="12"/>
      <c r="J14" s="15" t="str">
        <f>IF(NOT(ISBLANK($A14)),SUM(H$3:H14)-SUM(I$3:I14),"")</f>
        <v/>
      </c>
      <c r="K14" s="6"/>
      <c r="L14" s="6"/>
      <c r="M14" s="6"/>
    </row>
    <row r="15" spans="1:13" x14ac:dyDescent="0.25">
      <c r="A15" s="10"/>
      <c r="B15" s="7"/>
      <c r="C15" s="13"/>
      <c r="D15" s="16" t="str">
        <f>IF(NOT(ISBLANK($A15)),SUM(B$3:B15)-SUM(C$3:C15),"")</f>
        <v/>
      </c>
      <c r="E15" s="7"/>
      <c r="F15" s="13"/>
      <c r="G15" s="16" t="str">
        <f>IF(NOT(ISBLANK($A15)),SUM(E$3:E15)-SUM(F$3:F15),"")</f>
        <v/>
      </c>
      <c r="H15" s="7"/>
      <c r="I15" s="13"/>
      <c r="J15" s="16" t="str">
        <f>IF(NOT(ISBLANK($A15)),SUM(H$3:H15)-SUM(I$3:I15),"")</f>
        <v/>
      </c>
      <c r="K15" s="8"/>
      <c r="L15" s="8"/>
      <c r="M15" s="8"/>
    </row>
    <row r="16" spans="1:13" x14ac:dyDescent="0.25">
      <c r="A16" s="10"/>
      <c r="B16" s="7"/>
      <c r="C16" s="13"/>
      <c r="D16" s="16" t="str">
        <f>IF(NOT(ISBLANK($A16)),SUM(B$3:B16)-SUM(C$3:C16),"")</f>
        <v/>
      </c>
      <c r="E16" s="7"/>
      <c r="F16" s="13"/>
      <c r="G16" s="16" t="str">
        <f>IF(NOT(ISBLANK($A16)),SUM(E$3:E16)-SUM(F$3:F16),"")</f>
        <v/>
      </c>
      <c r="H16" s="7"/>
      <c r="I16" s="13"/>
      <c r="J16" s="16" t="str">
        <f>IF(NOT(ISBLANK($A16)),SUM(H$3:H16)-SUM(I$3:I16),"")</f>
        <v/>
      </c>
      <c r="K16" s="8"/>
      <c r="L16" s="8"/>
      <c r="M16" s="8"/>
    </row>
    <row r="17" spans="1:13" x14ac:dyDescent="0.25">
      <c r="A17" s="10"/>
      <c r="B17" s="7"/>
      <c r="C17" s="13"/>
      <c r="D17" s="16" t="str">
        <f>IF(NOT(ISBLANK($A17)),SUM(B$3:B17)-SUM(C$3:C17),"")</f>
        <v/>
      </c>
      <c r="E17" s="7"/>
      <c r="F17" s="13"/>
      <c r="G17" s="16" t="str">
        <f>IF(NOT(ISBLANK($A17)),SUM(E$3:E17)-SUM(F$3:F17),"")</f>
        <v/>
      </c>
      <c r="H17" s="7"/>
      <c r="I17" s="13"/>
      <c r="J17" s="16" t="str">
        <f>IF(NOT(ISBLANK($A17)),SUM(H$3:H17)-SUM(I$3:I17),"")</f>
        <v/>
      </c>
      <c r="K17" s="8"/>
      <c r="L17" s="8"/>
      <c r="M17" s="8"/>
    </row>
    <row r="18" spans="1:13" x14ac:dyDescent="0.25">
      <c r="A18" s="9"/>
      <c r="B18" s="5"/>
      <c r="C18" s="12"/>
      <c r="D18" s="15" t="str">
        <f>IF(NOT(ISBLANK($A18)),SUM(B$3:B18)-SUM(C$3:C18),"")</f>
        <v/>
      </c>
      <c r="E18" s="5"/>
      <c r="F18" s="12"/>
      <c r="G18" s="15" t="str">
        <f>IF(NOT(ISBLANK($A18)),SUM(E$3:E18)-SUM(F$3:F18),"")</f>
        <v/>
      </c>
      <c r="H18" s="5"/>
      <c r="I18" s="12"/>
      <c r="J18" s="15" t="str">
        <f>IF(NOT(ISBLANK($A18)),SUM(H$3:H18)-SUM(I$3:I18),"")</f>
        <v/>
      </c>
      <c r="K18" s="6"/>
      <c r="L18" s="6"/>
      <c r="M18" s="6"/>
    </row>
    <row r="19" spans="1:13" x14ac:dyDescent="0.25">
      <c r="A19" s="9"/>
      <c r="B19" s="5"/>
      <c r="C19" s="12"/>
      <c r="D19" s="15" t="str">
        <f>IF(NOT(ISBLANK($A19)),SUM(B$3:B19)-SUM(C$3:C19),"")</f>
        <v/>
      </c>
      <c r="E19" s="5"/>
      <c r="F19" s="12"/>
      <c r="G19" s="15" t="str">
        <f>IF(NOT(ISBLANK($A19)),SUM(E$3:E19)-SUM(F$3:F19),"")</f>
        <v/>
      </c>
      <c r="H19" s="5"/>
      <c r="I19" s="12"/>
      <c r="J19" s="15" t="str">
        <f>IF(NOT(ISBLANK($A19)),SUM(H$3:H19)-SUM(I$3:I19),"")</f>
        <v/>
      </c>
      <c r="K19" s="6"/>
      <c r="L19" s="6"/>
      <c r="M19" s="6"/>
    </row>
    <row r="20" spans="1:13" x14ac:dyDescent="0.25">
      <c r="A20" s="10"/>
      <c r="B20" s="7"/>
      <c r="C20" s="13"/>
      <c r="D20" s="16" t="str">
        <f>IF(NOT(ISBLANK($A20)),SUM(B$3:B20)-SUM(C$3:C20),"")</f>
        <v/>
      </c>
      <c r="E20" s="7"/>
      <c r="F20" s="13"/>
      <c r="G20" s="16" t="str">
        <f>IF(NOT(ISBLANK($A20)),SUM(E$3:E20)-SUM(F$3:F20),"")</f>
        <v/>
      </c>
      <c r="H20" s="7"/>
      <c r="I20" s="13"/>
      <c r="J20" s="16" t="str">
        <f>IF(NOT(ISBLANK($A20)),SUM(H$3:H20)-SUM(I$3:I20),"")</f>
        <v/>
      </c>
      <c r="K20" s="8"/>
      <c r="L20" s="8"/>
      <c r="M20" s="8"/>
    </row>
    <row r="21" spans="1:13" x14ac:dyDescent="0.25">
      <c r="A21" s="10"/>
      <c r="B21" s="7"/>
      <c r="C21" s="13"/>
      <c r="D21" s="16" t="str">
        <f>IF(NOT(ISBLANK($A21)),SUM(B$3:B21)-SUM(C$3:C21),"")</f>
        <v/>
      </c>
      <c r="E21" s="7"/>
      <c r="F21" s="13"/>
      <c r="G21" s="16" t="str">
        <f>IF(NOT(ISBLANK($A21)),SUM(E$3:E21)-SUM(F$3:F21),"")</f>
        <v/>
      </c>
      <c r="H21" s="7"/>
      <c r="I21" s="13"/>
      <c r="J21" s="16" t="str">
        <f>IF(NOT(ISBLANK($A21)),SUM(H$3:H21)-SUM(I$3:I21),"")</f>
        <v/>
      </c>
      <c r="K21" s="8"/>
      <c r="L21" s="8"/>
      <c r="M21" s="8"/>
    </row>
    <row r="22" spans="1:13" x14ac:dyDescent="0.25">
      <c r="A22" s="10"/>
      <c r="B22" s="7"/>
      <c r="C22" s="13"/>
      <c r="D22" s="16" t="str">
        <f>IF(NOT(ISBLANK($A22)),SUM(B$3:B22)-SUM(C$3:C22),"")</f>
        <v/>
      </c>
      <c r="E22" s="7"/>
      <c r="F22" s="13"/>
      <c r="G22" s="16" t="str">
        <f>IF(NOT(ISBLANK($A22)),SUM(E$3:E22)-SUM(F$3:F22),"")</f>
        <v/>
      </c>
      <c r="H22" s="7"/>
      <c r="I22" s="13"/>
      <c r="J22" s="16" t="str">
        <f>IF(NOT(ISBLANK($A22)),SUM(H$3:H22)-SUM(I$3:I22),"")</f>
        <v/>
      </c>
      <c r="K22" s="8"/>
      <c r="L22" s="8"/>
      <c r="M22" s="8"/>
    </row>
    <row r="23" spans="1:13" x14ac:dyDescent="0.25">
      <c r="A23" s="9"/>
      <c r="B23" s="5"/>
      <c r="C23" s="12"/>
      <c r="D23" s="15" t="str">
        <f>IF(NOT(ISBLANK($A23)),SUM(B$3:B23)-SUM(C$3:C23),"")</f>
        <v/>
      </c>
      <c r="E23" s="5"/>
      <c r="F23" s="12"/>
      <c r="G23" s="15" t="str">
        <f>IF(NOT(ISBLANK($A23)),SUM(E$3:E23)-SUM(F$3:F23),"")</f>
        <v/>
      </c>
      <c r="H23" s="5"/>
      <c r="I23" s="12"/>
      <c r="J23" s="15" t="str">
        <f>IF(NOT(ISBLANK($A23)),SUM(H$3:H23)-SUM(I$3:I23),"")</f>
        <v/>
      </c>
      <c r="K23" s="6"/>
      <c r="L23" s="6"/>
      <c r="M23" s="6"/>
    </row>
    <row r="24" spans="1:13" x14ac:dyDescent="0.25">
      <c r="A24" s="9"/>
      <c r="B24" s="5"/>
      <c r="C24" s="12"/>
      <c r="D24" s="15" t="str">
        <f>IF(NOT(ISBLANK($A24)),SUM(B$3:B24)-SUM(C$3:C24),"")</f>
        <v/>
      </c>
      <c r="E24" s="5"/>
      <c r="F24" s="12"/>
      <c r="G24" s="15" t="str">
        <f>IF(NOT(ISBLANK($A24)),SUM(E$3:E24)-SUM(F$3:F24),"")</f>
        <v/>
      </c>
      <c r="H24" s="5"/>
      <c r="I24" s="12"/>
      <c r="J24" s="15" t="str">
        <f>IF(NOT(ISBLANK($A24)),SUM(H$3:H24)-SUM(I$3:I24),"")</f>
        <v/>
      </c>
      <c r="K24" s="6"/>
      <c r="L24" s="6"/>
      <c r="M24" s="6"/>
    </row>
    <row r="25" spans="1:13" x14ac:dyDescent="0.25">
      <c r="A25" s="10"/>
      <c r="B25" s="7"/>
      <c r="C25" s="13"/>
      <c r="D25" s="16" t="str">
        <f>IF(NOT(ISBLANK($A25)),SUM(B$3:B25)-SUM(C$3:C25),"")</f>
        <v/>
      </c>
      <c r="E25" s="7"/>
      <c r="F25" s="13"/>
      <c r="G25" s="16" t="str">
        <f>IF(NOT(ISBLANK($A25)),SUM(E$3:E25)-SUM(F$3:F25),"")</f>
        <v/>
      </c>
      <c r="H25" s="7"/>
      <c r="I25" s="13"/>
      <c r="J25" s="16" t="str">
        <f>IF(NOT(ISBLANK($A25)),SUM(H$3:H25)-SUM(I$3:I25),"")</f>
        <v/>
      </c>
      <c r="K25" s="8"/>
      <c r="L25" s="8"/>
      <c r="M25" s="8"/>
    </row>
    <row r="26" spans="1:13" x14ac:dyDescent="0.25">
      <c r="A26" s="10"/>
      <c r="B26" s="7"/>
      <c r="C26" s="13"/>
      <c r="D26" s="16" t="str">
        <f>IF(NOT(ISBLANK($A26)),SUM(B$3:B26)-SUM(C$3:C26),"")</f>
        <v/>
      </c>
      <c r="E26" s="7"/>
      <c r="F26" s="13"/>
      <c r="G26" s="16" t="str">
        <f>IF(NOT(ISBLANK($A26)),SUM(E$3:E26)-SUM(F$3:F26),"")</f>
        <v/>
      </c>
      <c r="H26" s="7"/>
      <c r="I26" s="13"/>
      <c r="J26" s="16" t="str">
        <f>IF(NOT(ISBLANK($A26)),SUM(H$3:H26)-SUM(I$3:I26),"")</f>
        <v/>
      </c>
      <c r="K26" s="8"/>
      <c r="L26" s="8"/>
      <c r="M26" s="8"/>
    </row>
    <row r="27" spans="1:13" x14ac:dyDescent="0.25">
      <c r="A27" s="10"/>
      <c r="B27" s="7"/>
      <c r="C27" s="13"/>
      <c r="D27" s="16" t="str">
        <f>IF(NOT(ISBLANK($A27)),SUM(B$3:B27)-SUM(C$3:C27),"")</f>
        <v/>
      </c>
      <c r="E27" s="7"/>
      <c r="F27" s="13"/>
      <c r="G27" s="16" t="str">
        <f>IF(NOT(ISBLANK($A27)),SUM(E$3:E27)-SUM(F$3:F27),"")</f>
        <v/>
      </c>
      <c r="H27" s="7"/>
      <c r="I27" s="13"/>
      <c r="J27" s="16" t="str">
        <f>IF(NOT(ISBLANK($A27)),SUM(H$3:H27)-SUM(I$3:I27),"")</f>
        <v/>
      </c>
      <c r="K27" s="8"/>
      <c r="L27" s="8"/>
      <c r="M27" s="8"/>
    </row>
    <row r="28" spans="1:13" x14ac:dyDescent="0.25">
      <c r="A28" s="9"/>
      <c r="B28" s="5"/>
      <c r="C28" s="12"/>
      <c r="D28" s="15" t="str">
        <f>IF(NOT(ISBLANK($A28)),SUM(B$3:B28)-SUM(C$3:C28),"")</f>
        <v/>
      </c>
      <c r="E28" s="5"/>
      <c r="F28" s="12"/>
      <c r="G28" s="15" t="str">
        <f>IF(NOT(ISBLANK($A28)),SUM(E$3:E28)-SUM(F$3:F28),"")</f>
        <v/>
      </c>
      <c r="H28" s="5"/>
      <c r="I28" s="12"/>
      <c r="J28" s="15" t="str">
        <f>IF(NOT(ISBLANK($A28)),SUM(H$3:H28)-SUM(I$3:I28),"")</f>
        <v/>
      </c>
      <c r="K28" s="6"/>
      <c r="L28" s="6"/>
      <c r="M28" s="6"/>
    </row>
    <row r="29" spans="1:13" x14ac:dyDescent="0.25">
      <c r="A29" s="9"/>
      <c r="B29" s="5"/>
      <c r="C29" s="12"/>
      <c r="D29" s="15" t="str">
        <f>IF(NOT(ISBLANK($A29)),SUM(B$3:B29)-SUM(C$3:C29),"")</f>
        <v/>
      </c>
      <c r="E29" s="5"/>
      <c r="F29" s="12"/>
      <c r="G29" s="15" t="str">
        <f>IF(NOT(ISBLANK($A29)),SUM(E$3:E29)-SUM(F$3:F29),"")</f>
        <v/>
      </c>
      <c r="H29" s="5"/>
      <c r="I29" s="12"/>
      <c r="J29" s="15" t="str">
        <f>IF(NOT(ISBLANK($A29)),SUM(H$3:H29)-SUM(I$3:I29),"")</f>
        <v/>
      </c>
      <c r="K29" s="6"/>
      <c r="L29" s="6"/>
      <c r="M29" s="6"/>
    </row>
    <row r="30" spans="1:13" x14ac:dyDescent="0.25">
      <c r="A30" s="10"/>
      <c r="B30" s="7"/>
      <c r="C30" s="13"/>
      <c r="D30" s="16" t="str">
        <f>IF(NOT(ISBLANK($A30)),SUM(B$3:B30)-SUM(C$3:C30),"")</f>
        <v/>
      </c>
      <c r="E30" s="7"/>
      <c r="F30" s="13"/>
      <c r="G30" s="16" t="str">
        <f>IF(NOT(ISBLANK($A30)),SUM(E$3:E30)-SUM(F$3:F30),"")</f>
        <v/>
      </c>
      <c r="H30" s="7"/>
      <c r="I30" s="13"/>
      <c r="J30" s="16" t="str">
        <f>IF(NOT(ISBLANK($A30)),SUM(H$3:H30)-SUM(I$3:I30),"")</f>
        <v/>
      </c>
      <c r="K30" s="8"/>
      <c r="L30" s="8"/>
      <c r="M30" s="8"/>
    </row>
    <row r="31" spans="1:13" x14ac:dyDescent="0.25">
      <c r="A31" s="10"/>
      <c r="B31" s="7"/>
      <c r="C31" s="13"/>
      <c r="D31" s="16" t="str">
        <f>IF(NOT(ISBLANK($A31)),SUM(B$3:B31)-SUM(C$3:C31),"")</f>
        <v/>
      </c>
      <c r="E31" s="7"/>
      <c r="F31" s="13"/>
      <c r="G31" s="16" t="str">
        <f>IF(NOT(ISBLANK($A31)),SUM(E$3:E31)-SUM(F$3:F31),"")</f>
        <v/>
      </c>
      <c r="H31" s="7"/>
      <c r="I31" s="13"/>
      <c r="J31" s="16" t="str">
        <f>IF(NOT(ISBLANK($A31)),SUM(H$3:H31)-SUM(I$3:I31),"")</f>
        <v/>
      </c>
      <c r="K31" s="8"/>
      <c r="L31" s="8"/>
      <c r="M31" s="8"/>
    </row>
    <row r="32" spans="1:13" x14ac:dyDescent="0.25">
      <c r="A32" s="10"/>
      <c r="B32" s="7"/>
      <c r="C32" s="13"/>
      <c r="D32" s="16" t="str">
        <f>IF(NOT(ISBLANK($A32)),SUM(B$3:B32)-SUM(C$3:C32),"")</f>
        <v/>
      </c>
      <c r="E32" s="7"/>
      <c r="F32" s="13"/>
      <c r="G32" s="16" t="str">
        <f>IF(NOT(ISBLANK($A32)),SUM(E$3:E32)-SUM(F$3:F32),"")</f>
        <v/>
      </c>
      <c r="H32" s="7"/>
      <c r="I32" s="13"/>
      <c r="J32" s="16" t="str">
        <f>IF(NOT(ISBLANK($A32)),SUM(H$3:H32)-SUM(I$3:I32),"")</f>
        <v/>
      </c>
      <c r="K32" s="8"/>
      <c r="L32" s="8"/>
      <c r="M32" s="8"/>
    </row>
    <row r="33" spans="1:13" x14ac:dyDescent="0.25">
      <c r="A33" s="9"/>
      <c r="B33" s="5"/>
      <c r="C33" s="12"/>
      <c r="D33" s="15" t="str">
        <f>IF(NOT(ISBLANK($A33)),SUM(B$3:B33)-SUM(C$3:C33),"")</f>
        <v/>
      </c>
      <c r="E33" s="5"/>
      <c r="F33" s="12"/>
      <c r="G33" s="15" t="str">
        <f>IF(NOT(ISBLANK($A33)),SUM(E$3:E33)-SUM(F$3:F33),"")</f>
        <v/>
      </c>
      <c r="H33" s="5"/>
      <c r="I33" s="12"/>
      <c r="J33" s="15" t="str">
        <f>IF(NOT(ISBLANK($A33)),SUM(H$3:H33)-SUM(I$3:I33),"")</f>
        <v/>
      </c>
      <c r="K33" s="6"/>
      <c r="L33" s="6"/>
      <c r="M33" s="6"/>
    </row>
    <row r="34" spans="1:13" x14ac:dyDescent="0.25">
      <c r="A34" s="9"/>
      <c r="B34" s="5"/>
      <c r="C34" s="12"/>
      <c r="D34" s="15" t="str">
        <f>IF(NOT(ISBLANK($A34)),SUM(B$3:B34)-SUM(C$3:C34),"")</f>
        <v/>
      </c>
      <c r="E34" s="5"/>
      <c r="F34" s="12"/>
      <c r="G34" s="15" t="str">
        <f>IF(NOT(ISBLANK($A34)),SUM(E$3:E34)-SUM(F$3:F34),"")</f>
        <v/>
      </c>
      <c r="H34" s="5"/>
      <c r="I34" s="12"/>
      <c r="J34" s="15" t="str">
        <f>IF(NOT(ISBLANK($A34)),SUM(H$3:H34)-SUM(I$3:I34),"")</f>
        <v/>
      </c>
      <c r="K34" s="6"/>
      <c r="L34" s="6"/>
      <c r="M34" s="6"/>
    </row>
    <row r="35" spans="1:13" x14ac:dyDescent="0.25">
      <c r="A35" s="10"/>
      <c r="B35" s="7"/>
      <c r="C35" s="13"/>
      <c r="D35" s="16" t="str">
        <f>IF(NOT(ISBLANK($A35)),SUM(B$3:B35)-SUM(C$3:C35),"")</f>
        <v/>
      </c>
      <c r="E35" s="7"/>
      <c r="F35" s="13"/>
      <c r="G35" s="16" t="str">
        <f>IF(NOT(ISBLANK($A35)),SUM(E$3:E35)-SUM(F$3:F35),"")</f>
        <v/>
      </c>
      <c r="H35" s="7"/>
      <c r="I35" s="13"/>
      <c r="J35" s="16" t="str">
        <f>IF(NOT(ISBLANK($A35)),SUM(H$3:H35)-SUM(I$3:I35),"")</f>
        <v/>
      </c>
      <c r="K35" s="8"/>
      <c r="L35" s="8"/>
      <c r="M35" s="8"/>
    </row>
    <row r="36" spans="1:13" x14ac:dyDescent="0.25">
      <c r="A36" s="10"/>
      <c r="B36" s="7"/>
      <c r="C36" s="13"/>
      <c r="D36" s="16" t="str">
        <f>IF(NOT(ISBLANK($A36)),SUM(B$3:B36)-SUM(C$3:C36),"")</f>
        <v/>
      </c>
      <c r="E36" s="7"/>
      <c r="F36" s="13"/>
      <c r="G36" s="16" t="str">
        <f>IF(NOT(ISBLANK($A36)),SUM(E$3:E36)-SUM(F$3:F36),"")</f>
        <v/>
      </c>
      <c r="H36" s="7"/>
      <c r="I36" s="13"/>
      <c r="J36" s="16" t="str">
        <f>IF(NOT(ISBLANK($A36)),SUM(H$3:H36)-SUM(I$3:I36),"")</f>
        <v/>
      </c>
      <c r="K36" s="8"/>
      <c r="L36" s="8"/>
      <c r="M36" s="8"/>
    </row>
    <row r="37" spans="1:13" x14ac:dyDescent="0.25">
      <c r="A37" s="10"/>
      <c r="B37" s="7"/>
      <c r="C37" s="13"/>
      <c r="D37" s="16" t="str">
        <f>IF(NOT(ISBLANK($A37)),SUM(B$3:B37)-SUM(C$3:C37),"")</f>
        <v/>
      </c>
      <c r="E37" s="7"/>
      <c r="F37" s="13"/>
      <c r="G37" s="16" t="str">
        <f>IF(NOT(ISBLANK($A37)),SUM(E$3:E37)-SUM(F$3:F37),"")</f>
        <v/>
      </c>
      <c r="H37" s="7"/>
      <c r="I37" s="13"/>
      <c r="J37" s="16" t="str">
        <f>IF(NOT(ISBLANK($A37)),SUM(H$3:H37)-SUM(I$3:I37),"")</f>
        <v/>
      </c>
      <c r="K37" s="8"/>
      <c r="L37" s="8"/>
      <c r="M37" s="8"/>
    </row>
    <row r="38" spans="1:13" x14ac:dyDescent="0.25">
      <c r="A38" s="9"/>
      <c r="B38" s="5"/>
      <c r="C38" s="12"/>
      <c r="D38" s="15" t="str">
        <f>IF(NOT(ISBLANK($A38)),SUM(B$3:B38)-SUM(C$3:C38),"")</f>
        <v/>
      </c>
      <c r="E38" s="5"/>
      <c r="F38" s="12"/>
      <c r="G38" s="15" t="str">
        <f>IF(NOT(ISBLANK($A38)),SUM(E$3:E38)-SUM(F$3:F38),"")</f>
        <v/>
      </c>
      <c r="H38" s="5"/>
      <c r="I38" s="12"/>
      <c r="J38" s="15" t="str">
        <f>IF(NOT(ISBLANK($A38)),SUM(H$3:H38)-SUM(I$3:I38),"")</f>
        <v/>
      </c>
      <c r="K38" s="6"/>
      <c r="L38" s="6"/>
      <c r="M38" s="6"/>
    </row>
    <row r="39" spans="1:13" x14ac:dyDescent="0.25">
      <c r="A39" s="9"/>
      <c r="B39" s="5"/>
      <c r="C39" s="12"/>
      <c r="D39" s="15" t="str">
        <f>IF(NOT(ISBLANK($A39)),SUM(B$3:B39)-SUM(C$3:C39),"")</f>
        <v/>
      </c>
      <c r="E39" s="5"/>
      <c r="F39" s="12"/>
      <c r="G39" s="15" t="str">
        <f>IF(NOT(ISBLANK($A39)),SUM(E$3:E39)-SUM(F$3:F39),"")</f>
        <v/>
      </c>
      <c r="H39" s="5"/>
      <c r="I39" s="12"/>
      <c r="J39" s="15" t="str">
        <f>IF(NOT(ISBLANK($A39)),SUM(H$3:H39)-SUM(I$3:I39),"")</f>
        <v/>
      </c>
      <c r="K39" s="6"/>
      <c r="L39" s="6"/>
      <c r="M39" s="6"/>
    </row>
    <row r="40" spans="1:13" ht="15.75" thickBot="1" x14ac:dyDescent="0.3">
      <c r="A40" s="108"/>
      <c r="B40" s="109"/>
      <c r="C40" s="110"/>
      <c r="D40" s="111" t="str">
        <f>IF(NOT(ISBLANK($A40)),SUM(B$3:B40)-SUM(C$3:C40),"")</f>
        <v/>
      </c>
      <c r="E40" s="109"/>
      <c r="F40" s="110"/>
      <c r="G40" s="111" t="str">
        <f>IF(NOT(ISBLANK($A40)),SUM(E$3:E40)-SUM(F$3:F40),"")</f>
        <v/>
      </c>
      <c r="H40" s="109"/>
      <c r="I40" s="110"/>
      <c r="J40" s="111" t="str">
        <f>IF(NOT(ISBLANK($A40)),SUM(H$3:H40)-SUM(I$3:I40),"")</f>
        <v/>
      </c>
      <c r="K40" s="112"/>
      <c r="L40" s="112"/>
      <c r="M40" s="112"/>
    </row>
    <row r="41" spans="1:13" ht="19.5" thickBot="1" x14ac:dyDescent="0.35">
      <c r="A41" s="113"/>
      <c r="B41" s="115" t="s">
        <v>36</v>
      </c>
      <c r="C41" s="114"/>
      <c r="D41" s="116">
        <f>SUM(B$3:B40)-SUM(C$3:C40)</f>
        <v>104.81</v>
      </c>
      <c r="E41" s="115" t="s">
        <v>36</v>
      </c>
      <c r="F41" s="114"/>
      <c r="G41" s="116">
        <f>SUM(E$3:E40)-SUM(F$3:F40)</f>
        <v>1.300000000000523E-3</v>
      </c>
      <c r="H41" s="115" t="s">
        <v>36</v>
      </c>
      <c r="I41" s="114"/>
      <c r="J41" s="116">
        <f>SUM(H$3:H40)-SUM(I$3:I40)</f>
        <v>0</v>
      </c>
      <c r="K41" s="113"/>
      <c r="L41" s="113"/>
      <c r="M41" s="113"/>
    </row>
  </sheetData>
  <mergeCells count="7">
    <mergeCell ref="M1:M2"/>
    <mergeCell ref="A1:A2"/>
    <mergeCell ref="B1:D1"/>
    <mergeCell ref="H1:J1"/>
    <mergeCell ref="K1:K2"/>
    <mergeCell ref="E1:G1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6"/>
  <sheetViews>
    <sheetView workbookViewId="0">
      <selection activeCell="I17" sqref="I17"/>
    </sheetView>
  </sheetViews>
  <sheetFormatPr defaultRowHeight="15" x14ac:dyDescent="0.25"/>
  <cols>
    <col min="1" max="1" width="30" bestFit="1" customWidth="1"/>
    <col min="2" max="3" width="9" bestFit="1" customWidth="1"/>
    <col min="4" max="4" width="10.5703125" bestFit="1" customWidth="1"/>
    <col min="5" max="6" width="9" bestFit="1" customWidth="1"/>
    <col min="7" max="7" width="12.28515625" bestFit="1" customWidth="1"/>
    <col min="8" max="8" width="8.7109375" bestFit="1" customWidth="1"/>
    <col min="9" max="9" width="7.85546875" bestFit="1" customWidth="1"/>
    <col min="10" max="10" width="24.85546875" customWidth="1"/>
    <col min="11" max="11" width="9" bestFit="1" customWidth="1"/>
  </cols>
  <sheetData>
    <row r="1" spans="1:11" x14ac:dyDescent="0.25">
      <c r="A1" s="122" t="s">
        <v>0</v>
      </c>
      <c r="B1" s="124" t="s">
        <v>1</v>
      </c>
      <c r="C1" s="125"/>
      <c r="D1" s="126"/>
      <c r="E1" s="124" t="s">
        <v>2</v>
      </c>
      <c r="F1" s="125"/>
      <c r="G1" s="126"/>
      <c r="H1" s="122" t="s">
        <v>131</v>
      </c>
      <c r="I1" s="122" t="s">
        <v>132</v>
      </c>
      <c r="J1" s="122" t="s">
        <v>133</v>
      </c>
      <c r="K1" s="122" t="s">
        <v>89</v>
      </c>
    </row>
    <row r="2" spans="1:11" x14ac:dyDescent="0.25">
      <c r="A2" s="123"/>
      <c r="B2" s="3" t="s">
        <v>4</v>
      </c>
      <c r="C2" s="11" t="s">
        <v>5</v>
      </c>
      <c r="D2" s="4" t="s">
        <v>36</v>
      </c>
      <c r="E2" s="3" t="s">
        <v>4</v>
      </c>
      <c r="F2" s="11" t="s">
        <v>5</v>
      </c>
      <c r="G2" s="4" t="s">
        <v>36</v>
      </c>
      <c r="H2" s="123"/>
      <c r="I2" s="123"/>
      <c r="J2" s="123"/>
      <c r="K2" s="123"/>
    </row>
    <row r="3" spans="1:11" x14ac:dyDescent="0.25">
      <c r="A3" s="9">
        <v>42996</v>
      </c>
      <c r="B3" s="5">
        <v>50</v>
      </c>
      <c r="C3" s="12"/>
      <c r="D3" s="15">
        <f>IF(NOT(ISBLANK($A3)),SUM(B$3:B3)-SUM(C$3:C3),"")</f>
        <v>50</v>
      </c>
      <c r="E3" s="5"/>
      <c r="F3" s="12"/>
      <c r="G3" s="15">
        <f>IF(NOT(ISBLANK($A3)),SUM(E$3:E3)-SUM(F$3:F3),"")</f>
        <v>0</v>
      </c>
      <c r="H3" s="6"/>
      <c r="I3" s="6"/>
      <c r="J3" s="6" t="s">
        <v>9</v>
      </c>
      <c r="K3" s="97">
        <f>IF(NOT(ISBLANK(A3)),SUMIF($I$3:$I3,$I3,$F$3:$F3),"")</f>
        <v>0</v>
      </c>
    </row>
    <row r="4" spans="1:11" x14ac:dyDescent="0.25">
      <c r="A4" s="9">
        <v>43009</v>
      </c>
      <c r="B4" s="5"/>
      <c r="C4" s="12"/>
      <c r="D4" s="15">
        <f>IF(NOT(ISBLANK($A4)),SUM(B$3:B4)-SUM(C$3:C4),"")</f>
        <v>50</v>
      </c>
      <c r="E4" s="5"/>
      <c r="F4" s="12">
        <v>58.17</v>
      </c>
      <c r="G4" s="15">
        <f>IF(NOT(ISBLANK($A4)),SUM(E$3:E4)-SUM(F$3:F4),"")</f>
        <v>-58.17</v>
      </c>
      <c r="H4" s="6" t="b">
        <v>1</v>
      </c>
      <c r="I4" s="6" t="s">
        <v>145</v>
      </c>
      <c r="J4" s="6" t="s">
        <v>146</v>
      </c>
      <c r="K4" s="97">
        <f>IF(NOT(ISBLANK(A4)),SUMIF($I$3:$I4,$I4,$F$3:$F4),"")</f>
        <v>58.17</v>
      </c>
    </row>
    <row r="5" spans="1:11" x14ac:dyDescent="0.25">
      <c r="A5" s="10">
        <v>43010</v>
      </c>
      <c r="B5" s="7">
        <v>0.01</v>
      </c>
      <c r="C5" s="13"/>
      <c r="D5" s="16">
        <f>IF(NOT(ISBLANK($A5)),SUM(B$3:B5)-SUM(C$3:C5),"")</f>
        <v>50.01</v>
      </c>
      <c r="E5" s="7"/>
      <c r="F5" s="13"/>
      <c r="G5" s="16">
        <f>IF(NOT(ISBLANK($A5)),SUM(E$3:E5)-SUM(F$3:F5),"")</f>
        <v>-58.17</v>
      </c>
      <c r="H5" s="8"/>
      <c r="I5" s="8"/>
      <c r="J5" s="8" t="s">
        <v>37</v>
      </c>
      <c r="K5" s="98"/>
    </row>
    <row r="6" spans="1:11" x14ac:dyDescent="0.25">
      <c r="A6" s="10">
        <v>43011</v>
      </c>
      <c r="B6" s="7">
        <v>75</v>
      </c>
      <c r="C6" s="13"/>
      <c r="D6" s="16">
        <f>IF(NOT(ISBLANK($A6)),SUM(B$3:B6)-SUM(C$3:C6),"")</f>
        <v>125.00999999999999</v>
      </c>
      <c r="E6" s="7"/>
      <c r="F6" s="13"/>
      <c r="G6" s="16">
        <f>IF(NOT(ISBLANK($A6)),SUM(E$3:E6)-SUM(F$3:F6),"")</f>
        <v>-58.17</v>
      </c>
      <c r="H6" s="8"/>
      <c r="I6" s="8"/>
      <c r="J6" s="8" t="s">
        <v>9</v>
      </c>
      <c r="K6" s="98">
        <f>IF(NOT(ISBLANK(A6)),SUMIF($I$3:$I6,$I6,$F$3:$F6),"")</f>
        <v>0</v>
      </c>
    </row>
    <row r="7" spans="1:11" x14ac:dyDescent="0.25">
      <c r="A7" s="9">
        <v>43011</v>
      </c>
      <c r="B7" s="5"/>
      <c r="C7" s="12">
        <v>58.17</v>
      </c>
      <c r="D7" s="15">
        <f>IF(NOT(ISBLANK($A7)),SUM(B$3:B7)-SUM(C$3:C7),"")</f>
        <v>66.839999999999989</v>
      </c>
      <c r="E7" s="5">
        <v>58.17</v>
      </c>
      <c r="F7" s="12"/>
      <c r="G7" s="15">
        <f>IF(NOT(ISBLANK($A7)),SUM(E$3:E7)-SUM(F$3:F7),"")</f>
        <v>0</v>
      </c>
      <c r="H7" s="6"/>
      <c r="I7" s="6"/>
      <c r="J7" s="6"/>
      <c r="K7" s="97">
        <f>IF(NOT(ISBLANK(A7)),SUMIF($I$3:$I7,$I7,$F$3:$F7),"")</f>
        <v>0</v>
      </c>
    </row>
    <row r="8" spans="1:11" x14ac:dyDescent="0.25">
      <c r="A8" s="9">
        <v>43022</v>
      </c>
      <c r="B8" s="5"/>
      <c r="C8" s="12"/>
      <c r="D8" s="15">
        <f>IF(NOT(ISBLANK($A8)),SUM(B$3:B8)-SUM(C$3:C8),"")</f>
        <v>66.839999999999989</v>
      </c>
      <c r="E8" s="5"/>
      <c r="F8" s="12">
        <v>79.09</v>
      </c>
      <c r="G8" s="15">
        <f>IF(NOT(ISBLANK($A8)),SUM(E$3:E8)-SUM(F$3:F8),"")</f>
        <v>-79.089999999999989</v>
      </c>
      <c r="H8" s="6"/>
      <c r="I8" s="6" t="s">
        <v>141</v>
      </c>
      <c r="J8" s="6" t="s">
        <v>155</v>
      </c>
      <c r="K8" s="97">
        <f>IF(NOT(ISBLANK(A8)),SUMIF($I$3:$I8,$I8,$F$3:$F8),"")</f>
        <v>79.09</v>
      </c>
    </row>
    <row r="9" spans="1:11" x14ac:dyDescent="0.25">
      <c r="A9" s="10">
        <v>43026</v>
      </c>
      <c r="B9" s="7">
        <v>75</v>
      </c>
      <c r="C9" s="13"/>
      <c r="D9" s="16">
        <f>IF(NOT(ISBLANK($A9)),SUM(B$3:B9)-SUM(C$3:C9),"")</f>
        <v>141.83999999999997</v>
      </c>
      <c r="E9" s="7"/>
      <c r="F9" s="13"/>
      <c r="G9" s="16">
        <f>IF(NOT(ISBLANK($A9)),SUM(E$3:E9)-SUM(F$3:F9),"")</f>
        <v>-79.089999999999989</v>
      </c>
      <c r="H9" s="8"/>
      <c r="I9" s="8"/>
      <c r="J9" s="8" t="s">
        <v>9</v>
      </c>
      <c r="K9" s="98">
        <f>IF(NOT(ISBLANK(A9)),SUMIF($I$3:$I9,$I9,$F$3:$F9),"")</f>
        <v>0</v>
      </c>
    </row>
    <row r="10" spans="1:11" x14ac:dyDescent="0.25">
      <c r="A10" s="10">
        <v>43027</v>
      </c>
      <c r="B10" s="7"/>
      <c r="C10" s="13">
        <v>79.09</v>
      </c>
      <c r="D10" s="16">
        <f>IF(NOT(ISBLANK($A10)),SUM(B$3:B10)-SUM(C$3:C10),"")</f>
        <v>62.75</v>
      </c>
      <c r="E10" s="7">
        <v>79.09</v>
      </c>
      <c r="F10" s="13"/>
      <c r="G10" s="16">
        <f>IF(NOT(ISBLANK($A10)),SUM(E$3:E10)-SUM(F$3:F10),"")</f>
        <v>0</v>
      </c>
      <c r="H10" s="8"/>
      <c r="I10" s="8"/>
      <c r="J10" s="8" t="s">
        <v>18</v>
      </c>
      <c r="K10" s="98">
        <f>IF(NOT(ISBLANK(A10)),SUMIF($I$3:$I10,$I10,$F$3:$F10),"")</f>
        <v>0</v>
      </c>
    </row>
    <row r="11" spans="1:11" x14ac:dyDescent="0.25">
      <c r="A11" s="9">
        <v>43033</v>
      </c>
      <c r="B11" s="5"/>
      <c r="C11" s="12"/>
      <c r="D11" s="15">
        <f>IF(NOT(ISBLANK($A11)),SUM(B$3:B11)-SUM(C$3:C11),"")</f>
        <v>62.75</v>
      </c>
      <c r="E11" s="5"/>
      <c r="F11" s="12">
        <v>53.1</v>
      </c>
      <c r="G11" s="15">
        <f>IF(NOT(ISBLANK($A11)),SUM(E$3:E11)-SUM(F$3:F11),"")</f>
        <v>-53.099999999999994</v>
      </c>
      <c r="H11" s="6"/>
      <c r="I11" s="6" t="s">
        <v>145</v>
      </c>
      <c r="J11" s="6" t="s">
        <v>146</v>
      </c>
      <c r="K11" s="97">
        <f>IF(NOT(ISBLANK(A11)),SUMIF($I$3:$I11,$I11,$F$3:$F11),"")</f>
        <v>111.27000000000001</v>
      </c>
    </row>
    <row r="12" spans="1:11" x14ac:dyDescent="0.25">
      <c r="A12" s="9">
        <v>43036</v>
      </c>
      <c r="B12" s="5"/>
      <c r="C12" s="12"/>
      <c r="D12" s="15">
        <f>IF(NOT(ISBLANK($A12)),SUM(B$3:B12)-SUM(C$3:C12),"")</f>
        <v>62.75</v>
      </c>
      <c r="E12" s="5"/>
      <c r="F12" s="12">
        <v>22.02</v>
      </c>
      <c r="G12" s="15">
        <f>IF(NOT(ISBLANK($A12)),SUM(E$3:E12)-SUM(F$3:F12),"")</f>
        <v>-75.12</v>
      </c>
      <c r="H12" s="6"/>
      <c r="I12" s="6" t="s">
        <v>144</v>
      </c>
      <c r="J12" s="6" t="s">
        <v>95</v>
      </c>
      <c r="K12" s="97">
        <f>IF(NOT(ISBLANK(A12)),SUMIF($I$3:$I12,$I12,$F$3:$F12),"")</f>
        <v>22.02</v>
      </c>
    </row>
    <row r="13" spans="1:11" x14ac:dyDescent="0.25">
      <c r="A13" s="10">
        <v>43040</v>
      </c>
      <c r="B13" s="7"/>
      <c r="C13" s="13"/>
      <c r="D13" s="16">
        <f>IF(NOT(ISBLANK($A13)),SUM(B$3:B13)-SUM(C$3:C13),"")</f>
        <v>62.75</v>
      </c>
      <c r="E13" s="7"/>
      <c r="F13" s="13">
        <v>101.7</v>
      </c>
      <c r="G13" s="16">
        <f>IF(NOT(ISBLANK($A13)),SUM(E$3:E13)-SUM(F$3:F13),"")</f>
        <v>-176.82</v>
      </c>
      <c r="H13" s="8"/>
      <c r="I13" s="8" t="s">
        <v>141</v>
      </c>
      <c r="J13" s="8" t="s">
        <v>167</v>
      </c>
      <c r="K13" s="98">
        <f>IF(NOT(ISBLANK(A13)),SUMIF($I$3:$I13,$I13,$F$3:$F13),"")</f>
        <v>180.79000000000002</v>
      </c>
    </row>
    <row r="14" spans="1:11" x14ac:dyDescent="0.25">
      <c r="A14" s="10">
        <v>43041</v>
      </c>
      <c r="B14" s="7">
        <v>0.04</v>
      </c>
      <c r="C14" s="13"/>
      <c r="D14" s="16">
        <f>IF(NOT(ISBLANK($A14)),SUM(B$3:B14)-SUM(C$3:C14),"")</f>
        <v>62.789999999999992</v>
      </c>
      <c r="E14" s="7"/>
      <c r="F14" s="13"/>
      <c r="G14" s="16">
        <f>IF(NOT(ISBLANK($A14)),SUM(E$3:E14)-SUM(F$3:F14),"")</f>
        <v>-176.82</v>
      </c>
      <c r="H14" s="8"/>
      <c r="I14" s="8"/>
      <c r="J14" s="8" t="s">
        <v>37</v>
      </c>
      <c r="K14" s="98">
        <f>IF(NOT(ISBLANK(A14)),SUMIF($I$3:$I14,$I14,$F$3:$F14),"")</f>
        <v>0</v>
      </c>
    </row>
    <row r="15" spans="1:11" x14ac:dyDescent="0.25">
      <c r="A15" s="9">
        <f>A14</f>
        <v>43041</v>
      </c>
      <c r="B15" s="5">
        <v>75</v>
      </c>
      <c r="C15" s="12"/>
      <c r="D15" s="15">
        <f>IF(NOT(ISBLANK($A15)),SUM(B$3:B15)-SUM(C$3:C15),"")</f>
        <v>137.78999999999996</v>
      </c>
      <c r="E15" s="5"/>
      <c r="F15" s="12"/>
      <c r="G15" s="15">
        <f>IF(NOT(ISBLANK($A15)),SUM(E$3:E15)-SUM(F$3:F15),"")</f>
        <v>-176.82</v>
      </c>
      <c r="H15" s="6"/>
      <c r="I15" s="6"/>
      <c r="J15" s="6" t="s">
        <v>9</v>
      </c>
      <c r="K15" s="97">
        <f>IF(NOT(ISBLANK(A15)),SUMIF($I$3:$I15,$I15,$F$3:$F15),"")</f>
        <v>0</v>
      </c>
    </row>
    <row r="16" spans="1:11" x14ac:dyDescent="0.25">
      <c r="A16" s="9">
        <v>43044</v>
      </c>
      <c r="B16" s="5"/>
      <c r="C16" s="12">
        <v>137.79</v>
      </c>
      <c r="D16" s="15">
        <f>IF(NOT(ISBLANK($A16)),SUM(B$3:B16)-SUM(C$3:C16),"")</f>
        <v>0</v>
      </c>
      <c r="E16" s="5">
        <v>137.79</v>
      </c>
      <c r="F16" s="12"/>
      <c r="G16" s="15">
        <f>IF(NOT(ISBLANK($A16)),SUM(E$3:E16)-SUM(F$3:F16),"")</f>
        <v>-39.03000000000003</v>
      </c>
      <c r="H16" s="6"/>
      <c r="I16" s="6"/>
      <c r="J16" s="6" t="s">
        <v>18</v>
      </c>
      <c r="K16" s="97">
        <f>IF(NOT(ISBLANK(A16)),SUMIF($I$3:$I16,$I16,$F$3:$F16),"")</f>
        <v>0</v>
      </c>
    </row>
    <row r="17" spans="1:11" x14ac:dyDescent="0.25">
      <c r="A17" s="10"/>
      <c r="B17" s="7"/>
      <c r="C17" s="13"/>
      <c r="D17" s="16" t="str">
        <f>IF(NOT(ISBLANK($A17)),SUM(B$3:B17)-SUM(C$3:C17),"")</f>
        <v/>
      </c>
      <c r="E17" s="7"/>
      <c r="F17" s="13"/>
      <c r="G17" s="16" t="str">
        <f>IF(NOT(ISBLANK($A17)),SUM(E$3:E17)-SUM(F$3:F17),"")</f>
        <v/>
      </c>
      <c r="H17" s="8"/>
      <c r="I17" s="8"/>
      <c r="J17" s="8"/>
      <c r="K17" s="98" t="str">
        <f>IF(NOT(ISBLANK(A17)),SUMIF($I$3:$I17,$I17,$F$3:$F17),"")</f>
        <v/>
      </c>
    </row>
    <row r="18" spans="1:11" x14ac:dyDescent="0.25">
      <c r="A18" s="10"/>
      <c r="B18" s="7"/>
      <c r="C18" s="13"/>
      <c r="D18" s="16" t="str">
        <f>IF(NOT(ISBLANK($A18)),SUM(B$3:B18)-SUM(C$3:C18),"")</f>
        <v/>
      </c>
      <c r="E18" s="7"/>
      <c r="F18" s="13"/>
      <c r="G18" s="16" t="str">
        <f>IF(NOT(ISBLANK($A18)),SUM(E$3:E18)-SUM(F$3:F18),"")</f>
        <v/>
      </c>
      <c r="H18" s="8"/>
      <c r="I18" s="8"/>
      <c r="J18" s="8"/>
      <c r="K18" s="98" t="str">
        <f>IF(NOT(ISBLANK(A18)),SUMIF($I$3:$I18,$I18,$F$3:$F18),"")</f>
        <v/>
      </c>
    </row>
    <row r="19" spans="1:11" x14ac:dyDescent="0.25">
      <c r="A19" s="9"/>
      <c r="B19" s="5"/>
      <c r="C19" s="12"/>
      <c r="D19" s="15" t="str">
        <f>IF(NOT(ISBLANK($A19)),SUM(B$3:B19)-SUM(C$3:C19),"")</f>
        <v/>
      </c>
      <c r="E19" s="5"/>
      <c r="F19" s="12"/>
      <c r="G19" s="15" t="str">
        <f>IF(NOT(ISBLANK($A19)),SUM(E$3:E19)-SUM(F$3:F19),"")</f>
        <v/>
      </c>
      <c r="H19" s="6"/>
      <c r="I19" s="6"/>
      <c r="J19" s="6"/>
      <c r="K19" s="97" t="str">
        <f>IF(NOT(ISBLANK(A19)),SUMIF($I$3:$I19,$I19,$F$3:$F19),"")</f>
        <v/>
      </c>
    </row>
    <row r="20" spans="1:11" x14ac:dyDescent="0.25">
      <c r="A20" s="9"/>
      <c r="B20" s="5"/>
      <c r="C20" s="12"/>
      <c r="D20" s="15" t="str">
        <f>IF(NOT(ISBLANK($A20)),SUM(B$3:B20)-SUM(C$3:C20),"")</f>
        <v/>
      </c>
      <c r="E20" s="5"/>
      <c r="F20" s="12"/>
      <c r="G20" s="15" t="str">
        <f>IF(NOT(ISBLANK($A20)),SUM(E$3:E20)-SUM(F$3:F20),"")</f>
        <v/>
      </c>
      <c r="H20" s="6"/>
      <c r="I20" s="6"/>
      <c r="J20" s="6"/>
      <c r="K20" s="97" t="str">
        <f>IF(NOT(ISBLANK(A20)),SUMIF($I$3:$I20,$I20,$F$3:$F20),"")</f>
        <v/>
      </c>
    </row>
    <row r="21" spans="1:11" x14ac:dyDescent="0.25">
      <c r="A21" s="10"/>
      <c r="B21" s="7"/>
      <c r="C21" s="13"/>
      <c r="D21" s="16" t="str">
        <f>IF(NOT(ISBLANK($A21)),SUM(B$3:B21)-SUM(C$3:C21),"")</f>
        <v/>
      </c>
      <c r="E21" s="7"/>
      <c r="F21" s="13"/>
      <c r="G21" s="16" t="str">
        <f>IF(NOT(ISBLANK($A21)),SUM(E$3:E21)-SUM(F$3:F21),"")</f>
        <v/>
      </c>
      <c r="H21" s="8"/>
      <c r="I21" s="8"/>
      <c r="J21" s="8"/>
      <c r="K21" s="98" t="str">
        <f>IF(NOT(ISBLANK(A21)),SUMIF($I$3:$I21,$I21,$F$3:$F21),"")</f>
        <v/>
      </c>
    </row>
    <row r="22" spans="1:11" x14ac:dyDescent="0.25">
      <c r="A22" s="10"/>
      <c r="B22" s="7"/>
      <c r="C22" s="13"/>
      <c r="D22" s="16" t="str">
        <f>IF(NOT(ISBLANK($A22)),SUM(B$3:B22)-SUM(C$3:C22),"")</f>
        <v/>
      </c>
      <c r="E22" s="7"/>
      <c r="F22" s="13"/>
      <c r="G22" s="16" t="str">
        <f>IF(NOT(ISBLANK($A22)),SUM(E$3:E22)-SUM(F$3:F22),"")</f>
        <v/>
      </c>
      <c r="H22" s="8"/>
      <c r="I22" s="8"/>
      <c r="J22" s="8"/>
      <c r="K22" s="98" t="str">
        <f>IF(NOT(ISBLANK(A22)),SUMIF($I$3:$I22,$I22,$F$3:$F22),"")</f>
        <v/>
      </c>
    </row>
    <row r="23" spans="1:11" x14ac:dyDescent="0.25">
      <c r="A23" s="9"/>
      <c r="B23" s="5"/>
      <c r="C23" s="12"/>
      <c r="D23" s="15" t="str">
        <f>IF(NOT(ISBLANK($A23)),SUM(B$3:B23)-SUM(C$3:C23),"")</f>
        <v/>
      </c>
      <c r="E23" s="5"/>
      <c r="F23" s="12"/>
      <c r="G23" s="15" t="str">
        <f>IF(NOT(ISBLANK($A23)),SUM(E$3:E23)-SUM(F$3:F23),"")</f>
        <v/>
      </c>
      <c r="H23" s="6"/>
      <c r="I23" s="6"/>
      <c r="J23" s="6"/>
      <c r="K23" s="97" t="str">
        <f>IF(NOT(ISBLANK(A23)),SUMIF($I$3:$I23,$I23,$F$3:$F23),"")</f>
        <v/>
      </c>
    </row>
    <row r="24" spans="1:11" x14ac:dyDescent="0.25">
      <c r="A24" s="9"/>
      <c r="B24" s="5"/>
      <c r="C24" s="12"/>
      <c r="D24" s="15" t="str">
        <f>IF(NOT(ISBLANK($A24)),SUM(B$3:B24)-SUM(C$3:C24),"")</f>
        <v/>
      </c>
      <c r="E24" s="5"/>
      <c r="F24" s="12"/>
      <c r="G24" s="15" t="str">
        <f>IF(NOT(ISBLANK($A24)),SUM(E$3:E24)-SUM(F$3:F24),"")</f>
        <v/>
      </c>
      <c r="H24" s="6"/>
      <c r="I24" s="6"/>
      <c r="J24" s="6"/>
      <c r="K24" s="97" t="str">
        <f>IF(NOT(ISBLANK(A24)),SUMIF($I$3:$I24,$I24,$F$3:$F24),"")</f>
        <v/>
      </c>
    </row>
    <row r="25" spans="1:11" ht="15.75" thickBot="1" x14ac:dyDescent="0.3">
      <c r="A25" s="10"/>
      <c r="B25" s="7"/>
      <c r="C25" s="13"/>
      <c r="D25" s="16" t="str">
        <f>IF(NOT(ISBLANK($A25)),SUM(B$3:B25)-SUM(C$3:C25),"")</f>
        <v/>
      </c>
      <c r="E25" s="7"/>
      <c r="F25" s="13"/>
      <c r="G25" s="16" t="str">
        <f>IF(NOT(ISBLANK($A25)),SUM(E$3:E25)-SUM(F$3:F25),"")</f>
        <v/>
      </c>
      <c r="H25" s="8"/>
      <c r="I25" s="8"/>
      <c r="J25" s="8"/>
      <c r="K25" s="98" t="str">
        <f>IF(NOT(ISBLANK(A25)),SUMIF($I$3:$I25,$I25,$F$3:$F25),"")</f>
        <v/>
      </c>
    </row>
    <row r="26" spans="1:11" ht="19.5" thickBot="1" x14ac:dyDescent="0.35">
      <c r="A26" s="113"/>
      <c r="B26" s="115" t="s">
        <v>36</v>
      </c>
      <c r="C26" s="114"/>
      <c r="D26" s="116">
        <f>SUM(B$3:B25)-SUM(C$3:C25)</f>
        <v>0</v>
      </c>
      <c r="E26" s="115" t="s">
        <v>36</v>
      </c>
      <c r="F26" s="114"/>
      <c r="G26" s="116">
        <f>SUM(E$3:E25)-SUM(F$3:F25)</f>
        <v>-39.03000000000003</v>
      </c>
      <c r="H26" s="113"/>
      <c r="I26" s="113"/>
      <c r="J26" s="113"/>
      <c r="K26" s="113"/>
    </row>
  </sheetData>
  <mergeCells count="7">
    <mergeCell ref="K1:K2"/>
    <mergeCell ref="A1:A2"/>
    <mergeCell ref="B1:D1"/>
    <mergeCell ref="E1:G1"/>
    <mergeCell ref="H1:H2"/>
    <mergeCell ref="I1:I2"/>
    <mergeCell ref="J1:J2"/>
  </mergeCells>
  <dataValidations count="1">
    <dataValidation type="list" allowBlank="1" showInputMessage="1" showErrorMessage="1" sqref="I3:I25">
      <formula1>pets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5"/>
  <sheetViews>
    <sheetView tabSelected="1" workbookViewId="0">
      <selection activeCell="I16" sqref="I16"/>
    </sheetView>
  </sheetViews>
  <sheetFormatPr defaultRowHeight="15" x14ac:dyDescent="0.25"/>
  <cols>
    <col min="1" max="1" width="30" bestFit="1" customWidth="1"/>
    <col min="2" max="2" width="10.5703125" bestFit="1" customWidth="1"/>
    <col min="3" max="3" width="9" bestFit="1" customWidth="1"/>
    <col min="4" max="4" width="10.5703125" bestFit="1" customWidth="1"/>
    <col min="5" max="5" width="9" bestFit="1" customWidth="1"/>
    <col min="6" max="6" width="10.5703125" bestFit="1" customWidth="1"/>
    <col min="7" max="7" width="12.28515625" bestFit="1" customWidth="1"/>
    <col min="8" max="8" width="8.7109375" bestFit="1" customWidth="1"/>
    <col min="9" max="9" width="13.85546875" customWidth="1"/>
    <col min="10" max="10" width="16.28515625" bestFit="1" customWidth="1"/>
    <col min="13" max="13" width="22.28515625" bestFit="1" customWidth="1"/>
  </cols>
  <sheetData>
    <row r="1" spans="1:13" x14ac:dyDescent="0.25">
      <c r="A1" s="122" t="s">
        <v>0</v>
      </c>
      <c r="B1" s="124" t="s">
        <v>1</v>
      </c>
      <c r="C1" s="125"/>
      <c r="D1" s="126"/>
      <c r="E1" s="124" t="s">
        <v>2</v>
      </c>
      <c r="F1" s="125"/>
      <c r="G1" s="126"/>
      <c r="H1" s="122" t="s">
        <v>131</v>
      </c>
      <c r="I1" s="122" t="s">
        <v>19</v>
      </c>
      <c r="J1" s="122" t="s">
        <v>132</v>
      </c>
      <c r="K1" s="122" t="s">
        <v>133</v>
      </c>
      <c r="L1" s="122" t="s">
        <v>89</v>
      </c>
      <c r="M1" s="122" t="s">
        <v>161</v>
      </c>
    </row>
    <row r="2" spans="1:13" x14ac:dyDescent="0.25">
      <c r="A2" s="123"/>
      <c r="B2" s="3" t="s">
        <v>4</v>
      </c>
      <c r="C2" s="11" t="s">
        <v>5</v>
      </c>
      <c r="D2" s="4" t="s">
        <v>36</v>
      </c>
      <c r="E2" s="3" t="s">
        <v>4</v>
      </c>
      <c r="F2" s="11" t="s">
        <v>5</v>
      </c>
      <c r="G2" s="4" t="s">
        <v>36</v>
      </c>
      <c r="H2" s="123"/>
      <c r="I2" s="123"/>
      <c r="J2" s="123"/>
      <c r="K2" s="123"/>
      <c r="L2" s="123"/>
      <c r="M2" s="123"/>
    </row>
    <row r="3" spans="1:13" x14ac:dyDescent="0.25">
      <c r="A3" s="10">
        <v>42996</v>
      </c>
      <c r="B3" s="7">
        <v>100</v>
      </c>
      <c r="C3" s="13"/>
      <c r="D3" s="16">
        <f>IF(NOT(ISBLANK($A3)),SUM(B$3:B3)-SUM(C$3:C3),"")</f>
        <v>100</v>
      </c>
      <c r="E3" s="7"/>
      <c r="F3" s="13"/>
      <c r="G3" s="16">
        <f>IF(NOT(ISBLANK($A3)),SUM(E$3:E3)-SUM(F$3:F3),"")</f>
        <v>0</v>
      </c>
      <c r="H3" s="8"/>
      <c r="I3" s="8" t="s">
        <v>9</v>
      </c>
      <c r="J3" s="8"/>
      <c r="K3" s="8"/>
      <c r="L3" s="98">
        <f>IF(NOT(ISBLANK(A3)),SUMIF($J$3:$J3,$J3,$F$3:$F3)-SUMIF($J$3:$J3,$J3,$E$3:$E3),"")</f>
        <v>0</v>
      </c>
      <c r="M3" s="8"/>
    </row>
    <row r="4" spans="1:13" x14ac:dyDescent="0.25">
      <c r="A4" s="10">
        <v>43009</v>
      </c>
      <c r="B4" s="7"/>
      <c r="C4" s="13"/>
      <c r="D4" s="16">
        <f>IF(NOT(ISBLANK($A4)),SUM(B$3:B4)-SUM(C$3:C4),"")</f>
        <v>100</v>
      </c>
      <c r="E4" s="7"/>
      <c r="F4" s="13">
        <v>14.68</v>
      </c>
      <c r="G4" s="16">
        <f>IF(NOT(ISBLANK($A4)),SUM(E$3:E4)-SUM(F$3:F4),"")</f>
        <v>-14.68</v>
      </c>
      <c r="H4" s="8" t="b">
        <v>1</v>
      </c>
      <c r="I4" s="8" t="s">
        <v>156</v>
      </c>
      <c r="J4" s="8" t="s">
        <v>107</v>
      </c>
      <c r="K4" s="8" t="s">
        <v>137</v>
      </c>
      <c r="L4" s="98">
        <f>IF(NOT(ISBLANK(A4)),SUMIF($J$3:$J4,$J4,$F$3:$F4)-SUMIF($J$3:$J4,$J4,$E$3:$E4),"")</f>
        <v>14.68</v>
      </c>
      <c r="M4" s="8"/>
    </row>
    <row r="5" spans="1:13" x14ac:dyDescent="0.25">
      <c r="A5" s="9">
        <v>43009</v>
      </c>
      <c r="B5" s="5"/>
      <c r="C5" s="12">
        <v>14.68</v>
      </c>
      <c r="D5" s="15">
        <f>IF(NOT(ISBLANK($A5)),SUM(B$3:B5)-SUM(C$3:C5),"")</f>
        <v>85.32</v>
      </c>
      <c r="E5" s="5">
        <v>14.68</v>
      </c>
      <c r="F5" s="12"/>
      <c r="G5" s="15">
        <f>IF(NOT(ISBLANK($A5)),SUM(E$3:E5)-SUM(F$3:F5),"")</f>
        <v>0</v>
      </c>
      <c r="H5" s="6"/>
      <c r="I5" s="6" t="s">
        <v>18</v>
      </c>
      <c r="J5" s="6"/>
      <c r="K5" s="6"/>
      <c r="L5" s="97">
        <f>IF(NOT(ISBLANK(A5)),SUMIF($J$3:$J5,$J5,$F$3:$F5)-SUMIF($J$3:$J5,$J5,$E$3:$E5),"")</f>
        <v>0</v>
      </c>
      <c r="M5" s="6"/>
    </row>
    <row r="6" spans="1:13" x14ac:dyDescent="0.25">
      <c r="A6" s="9">
        <v>43010</v>
      </c>
      <c r="B6" s="5">
        <v>0.03</v>
      </c>
      <c r="C6" s="12"/>
      <c r="D6" s="15">
        <f>IF(NOT(ISBLANK($A6)),SUM(B$3:B6)-SUM(C$3:C6),"")</f>
        <v>85.35</v>
      </c>
      <c r="E6" s="5"/>
      <c r="F6" s="12"/>
      <c r="G6" s="15">
        <f>IF(NOT(ISBLANK($A6)),SUM(E$3:E6)-SUM(F$3:F6),"")</f>
        <v>0</v>
      </c>
      <c r="H6" s="6"/>
      <c r="I6" s="6" t="s">
        <v>37</v>
      </c>
      <c r="J6" s="6"/>
      <c r="K6" s="6" t="s">
        <v>37</v>
      </c>
      <c r="L6" s="97">
        <f>IF(NOT(ISBLANK(A6)),SUMIF($J$3:$J6,$J6,$F$3:$F6)-SUMIF($J$3:$J6,$J6,$E$3:$E6),"")</f>
        <v>0</v>
      </c>
      <c r="M6" s="6"/>
    </row>
    <row r="7" spans="1:13" x14ac:dyDescent="0.25">
      <c r="A7" s="10">
        <v>43011</v>
      </c>
      <c r="B7" s="7">
        <v>100</v>
      </c>
      <c r="C7" s="13"/>
      <c r="D7" s="16">
        <f>IF(NOT(ISBLANK($A7)),SUM(B$3:B7)-SUM(C$3:C7),"")</f>
        <v>185.35</v>
      </c>
      <c r="E7" s="7"/>
      <c r="F7" s="13"/>
      <c r="G7" s="16">
        <f>IF(NOT(ISBLANK($A7)),SUM(E$3:E7)-SUM(F$3:F7),"")</f>
        <v>0</v>
      </c>
      <c r="H7" s="8"/>
      <c r="I7" s="8" t="s">
        <v>9</v>
      </c>
      <c r="J7" s="8"/>
      <c r="K7" s="8" t="s">
        <v>9</v>
      </c>
      <c r="L7" s="98">
        <f>IF(NOT(ISBLANK(A7)),SUMIF($J$3:$J7,$J7,$F$3:$F7)-SUMIF($J$3:$J7,$J7,$E$3:$E7),"")</f>
        <v>0</v>
      </c>
      <c r="M7" s="8"/>
    </row>
    <row r="8" spans="1:13" x14ac:dyDescent="0.25">
      <c r="A8" s="10">
        <v>43025</v>
      </c>
      <c r="B8" s="7"/>
      <c r="C8" s="13">
        <v>8.43</v>
      </c>
      <c r="D8" s="16">
        <f>IF(NOT(ISBLANK($A8)),SUM(B$3:B8)-SUM(C$3:C8),"")</f>
        <v>176.92000000000002</v>
      </c>
      <c r="E8" s="7">
        <v>8.43</v>
      </c>
      <c r="F8" s="13"/>
      <c r="G8" s="16">
        <f>IF(NOT(ISBLANK($A8)),SUM(E$3:E8)-SUM(F$3:F8),"")</f>
        <v>8.43</v>
      </c>
      <c r="H8" s="8"/>
      <c r="I8" s="8" t="s">
        <v>18</v>
      </c>
      <c r="J8" s="8"/>
      <c r="K8" s="8"/>
      <c r="L8" s="98">
        <f>IF(NOT(ISBLANK(A8)),SUMIF($J$3:$J8,$J8,$F$3:$F8)-SUMIF($J$3:$J8,$J8,$E$3:$E8),"")</f>
        <v>0</v>
      </c>
      <c r="M8" s="8" t="s">
        <v>162</v>
      </c>
    </row>
    <row r="9" spans="1:13" x14ac:dyDescent="0.25">
      <c r="A9" s="9">
        <v>43026</v>
      </c>
      <c r="B9" s="5">
        <v>100</v>
      </c>
      <c r="C9" s="12"/>
      <c r="D9" s="15">
        <f>IF(NOT(ISBLANK($A9)),SUM(B$3:B9)-SUM(C$3:C9),"")</f>
        <v>276.91999999999996</v>
      </c>
      <c r="E9" s="5"/>
      <c r="F9" s="12"/>
      <c r="G9" s="15">
        <f>IF(NOT(ISBLANK($A9)),SUM(E$3:E9)-SUM(F$3:F9),"")</f>
        <v>8.43</v>
      </c>
      <c r="H9" s="6"/>
      <c r="I9" s="6" t="s">
        <v>9</v>
      </c>
      <c r="J9" s="6"/>
      <c r="K9" s="6" t="s">
        <v>9</v>
      </c>
      <c r="L9" s="97">
        <f>IF(NOT(ISBLANK(A9)),SUMIF($J$3:$J9,$J9,$F$3:$F9)-SUMIF($J$3:$J9,$J9,$E$3:$E9),"")</f>
        <v>0</v>
      </c>
      <c r="M9" s="6"/>
    </row>
    <row r="10" spans="1:13" x14ac:dyDescent="0.25">
      <c r="A10" s="9">
        <v>43026</v>
      </c>
      <c r="B10" s="5"/>
      <c r="C10" s="12"/>
      <c r="D10" s="15">
        <f>IF(NOT(ISBLANK($A10)),SUM(B$3:B10)-SUM(C$3:C10),"")</f>
        <v>276.91999999999996</v>
      </c>
      <c r="E10" s="5"/>
      <c r="F10" s="12">
        <v>8.43</v>
      </c>
      <c r="G10" s="15">
        <f>IF(NOT(ISBLANK($A10)),SUM(E$3:E10)-SUM(F$3:F10),"")</f>
        <v>0</v>
      </c>
      <c r="H10" s="6"/>
      <c r="I10" s="6" t="s">
        <v>156</v>
      </c>
      <c r="J10" s="6" t="s">
        <v>136</v>
      </c>
      <c r="K10" s="6" t="s">
        <v>157</v>
      </c>
      <c r="L10" s="97">
        <f>IF(NOT(ISBLANK(A10)),SUMIF($J$3:$J10,$J10,$F$3:$F10)-SUMIF($J$3:$J10,$J10,$E$3:$E10),"")</f>
        <v>8.43</v>
      </c>
      <c r="M10" s="6"/>
    </row>
    <row r="11" spans="1:13" x14ac:dyDescent="0.25">
      <c r="A11" s="10">
        <v>43028</v>
      </c>
      <c r="B11" s="7"/>
      <c r="C11" s="13"/>
      <c r="D11" s="16">
        <f>IF(NOT(ISBLANK($A11)),SUM(B$3:B11)-SUM(C$3:C11),"")</f>
        <v>276.91999999999996</v>
      </c>
      <c r="E11" s="7"/>
      <c r="F11" s="13">
        <v>220.72</v>
      </c>
      <c r="G11" s="16">
        <f>IF(NOT(ISBLANK($A11)),SUM(E$3:E11)-SUM(F$3:F11),"")</f>
        <v>-220.71999999999997</v>
      </c>
      <c r="H11" s="8"/>
      <c r="I11" s="8" t="s">
        <v>156</v>
      </c>
      <c r="J11" s="8" t="s">
        <v>158</v>
      </c>
      <c r="K11" s="8" t="s">
        <v>159</v>
      </c>
      <c r="L11" s="98">
        <f>IF(NOT(ISBLANK(A11)),SUMIF($J$3:$J11,$J11,$F$3:$F11)-SUMIF($J$3:$J11,$J11,$E$3:$E11),"")</f>
        <v>220.72</v>
      </c>
      <c r="M11" s="8"/>
    </row>
    <row r="12" spans="1:13" x14ac:dyDescent="0.25">
      <c r="A12" s="10">
        <v>43028</v>
      </c>
      <c r="B12" s="7"/>
      <c r="C12" s="13"/>
      <c r="D12" s="16">
        <f>IF(NOT(ISBLANK($A12)),SUM(B$3:B12)-SUM(C$3:C12),"")</f>
        <v>276.91999999999996</v>
      </c>
      <c r="E12" s="7"/>
      <c r="F12" s="13">
        <v>108.41</v>
      </c>
      <c r="G12" s="16">
        <f>IF(NOT(ISBLANK($A12)),SUM(E$3:E12)-SUM(F$3:F12),"")</f>
        <v>-329.13</v>
      </c>
      <c r="H12" s="8"/>
      <c r="I12" s="8" t="s">
        <v>156</v>
      </c>
      <c r="J12" s="8" t="s">
        <v>158</v>
      </c>
      <c r="K12" s="8" t="s">
        <v>159</v>
      </c>
      <c r="L12" s="98">
        <f>IF(NOT(ISBLANK(A12)),SUMIF($J$3:$J12,$J12,$F$3:$F12)-SUMIF($J$3:$J12,$J12,$E$3:$E12),"")</f>
        <v>329.13</v>
      </c>
      <c r="M12" s="8"/>
    </row>
    <row r="13" spans="1:13" x14ac:dyDescent="0.25">
      <c r="A13" s="9">
        <v>43028</v>
      </c>
      <c r="B13" s="5"/>
      <c r="C13" s="12">
        <v>8.43</v>
      </c>
      <c r="D13" s="15">
        <f>IF(NOT(ISBLANK($A13)),SUM(B$3:B13)-SUM(C$3:C13),"")</f>
        <v>268.48999999999995</v>
      </c>
      <c r="E13" s="5">
        <v>8.43</v>
      </c>
      <c r="F13" s="12"/>
      <c r="G13" s="15">
        <f>IF(NOT(ISBLANK($A13)),SUM(E$3:E13)-SUM(F$3:F13),"")</f>
        <v>-320.7</v>
      </c>
      <c r="H13" s="6"/>
      <c r="I13" s="6" t="s">
        <v>18</v>
      </c>
      <c r="J13" s="6"/>
      <c r="K13" s="6"/>
      <c r="L13" s="97">
        <f>IF(NOT(ISBLANK(A13)),SUMIF($J$3:$J13,$J13,$F$3:$F13)-SUMIF($J$3:$J13,$J13,$E$3:$E13),"")</f>
        <v>0</v>
      </c>
      <c r="M13" s="6"/>
    </row>
    <row r="14" spans="1:13" x14ac:dyDescent="0.25">
      <c r="A14" s="9">
        <v>43029</v>
      </c>
      <c r="B14" s="5"/>
      <c r="C14" s="12"/>
      <c r="D14" s="15">
        <f>IF(NOT(ISBLANK($A14)),SUM(B$3:B14)-SUM(C$3:C14),"")</f>
        <v>268.48999999999995</v>
      </c>
      <c r="E14" s="5">
        <v>10.11</v>
      </c>
      <c r="F14" s="12"/>
      <c r="G14" s="15">
        <f>IF(NOT(ISBLANK($A14)),SUM(E$3:E14)-SUM(F$3:F14),"")</f>
        <v>-310.59000000000003</v>
      </c>
      <c r="H14" s="6"/>
      <c r="I14" s="6" t="s">
        <v>160</v>
      </c>
      <c r="J14" s="6" t="s">
        <v>158</v>
      </c>
      <c r="K14" s="6" t="s">
        <v>159</v>
      </c>
      <c r="L14" s="97">
        <f>IF(NOT(ISBLANK(A14)),SUMIF($J$3:$J14,$J14,$F$3:$F14)-SUMIF($J$3:$J14,$J14,$E$3:$E14),"")</f>
        <v>319.02</v>
      </c>
      <c r="M14" s="6"/>
    </row>
    <row r="15" spans="1:13" x14ac:dyDescent="0.25">
      <c r="A15" s="10">
        <v>43031</v>
      </c>
      <c r="B15" s="7"/>
      <c r="C15" s="13">
        <v>220.72</v>
      </c>
      <c r="D15" s="16">
        <f>IF(NOT(ISBLANK($A15)),SUM(B$3:B15)-SUM(C$3:C15),"")</f>
        <v>47.769999999999982</v>
      </c>
      <c r="E15" s="7">
        <v>220.72</v>
      </c>
      <c r="F15" s="13"/>
      <c r="G15" s="16">
        <f>IF(NOT(ISBLANK($A15)),SUM(E$3:E15)-SUM(F$3:F15),"")</f>
        <v>-89.87</v>
      </c>
      <c r="H15" s="8"/>
      <c r="I15" s="8" t="s">
        <v>18</v>
      </c>
      <c r="J15" s="8"/>
      <c r="K15" s="8"/>
      <c r="L15" s="98">
        <f>IF(NOT(ISBLANK(A15)),SUMIF($J$3:$J15,$J15,$F$3:$F15)-SUMIF($J$3:$J15,$J15,$E$3:$E15),"")</f>
        <v>0</v>
      </c>
      <c r="M15" s="8"/>
    </row>
    <row r="16" spans="1:13" x14ac:dyDescent="0.25">
      <c r="A16" s="10">
        <v>43040</v>
      </c>
      <c r="B16" s="7">
        <v>0.1</v>
      </c>
      <c r="C16" s="13"/>
      <c r="D16" s="16">
        <f>IF(NOT(ISBLANK($A16)),SUM(B$3:B16)-SUM(C$3:C16),"")</f>
        <v>47.870000000000005</v>
      </c>
      <c r="E16" s="7"/>
      <c r="F16" s="13"/>
      <c r="G16" s="16">
        <f>IF(NOT(ISBLANK($A16)),SUM(E$3:E16)-SUM(F$3:F16),"")</f>
        <v>-89.87</v>
      </c>
      <c r="H16" s="8"/>
      <c r="I16" s="8" t="s">
        <v>37</v>
      </c>
      <c r="J16" s="8"/>
      <c r="K16" s="8"/>
      <c r="L16" s="98">
        <f>IF(NOT(ISBLANK(A16)),SUMIF($J$3:$J16,$J16,$F$3:$F16)-SUMIF($J$3:$J16,$J16,$E$3:$E16),"")</f>
        <v>0</v>
      </c>
      <c r="M16" s="8"/>
    </row>
    <row r="17" spans="1:13" x14ac:dyDescent="0.25">
      <c r="A17" s="9">
        <v>43041</v>
      </c>
      <c r="B17" s="5">
        <v>100</v>
      </c>
      <c r="C17" s="12"/>
      <c r="D17" s="15">
        <f>IF(NOT(ISBLANK($A17)),SUM(B$3:B17)-SUM(C$3:C17),"")</f>
        <v>147.87</v>
      </c>
      <c r="E17" s="5"/>
      <c r="F17" s="12"/>
      <c r="G17" s="15">
        <f>IF(NOT(ISBLANK($A17)),SUM(E$3:E17)-SUM(F$3:F17),"")</f>
        <v>-89.87</v>
      </c>
      <c r="H17" s="6"/>
      <c r="I17" s="6" t="s">
        <v>9</v>
      </c>
      <c r="J17" s="6"/>
      <c r="K17" s="6"/>
      <c r="L17" s="97">
        <f>IF(NOT(ISBLANK(A17)),SUMIF($J$3:$J17,$J17,$F$3:$F17)-SUMIF($J$3:$J17,$J17,$E$3:$E17),"")</f>
        <v>0</v>
      </c>
      <c r="M17" s="6"/>
    </row>
    <row r="18" spans="1:13" x14ac:dyDescent="0.25">
      <c r="A18" s="9">
        <v>43044</v>
      </c>
      <c r="B18" s="5"/>
      <c r="C18" s="12">
        <v>89.87</v>
      </c>
      <c r="D18" s="15">
        <f>IF(NOT(ISBLANK($A18)),SUM(B$3:B18)-SUM(C$3:C18),"")</f>
        <v>58</v>
      </c>
      <c r="E18" s="5">
        <v>89.87</v>
      </c>
      <c r="F18" s="12"/>
      <c r="G18" s="15">
        <f>IF(NOT(ISBLANK($A18)),SUM(E$3:E18)-SUM(F$3:F18),"")</f>
        <v>0</v>
      </c>
      <c r="H18" s="6"/>
      <c r="I18" s="6" t="s">
        <v>18</v>
      </c>
      <c r="J18" s="6"/>
      <c r="K18" s="6"/>
      <c r="L18" s="97">
        <f>IF(NOT(ISBLANK(A18)),SUMIF($J$3:$J18,$J18,$F$3:$F18)-SUMIF($J$3:$J18,$J18,$E$3:$E18),"")</f>
        <v>0</v>
      </c>
      <c r="M18" s="6"/>
    </row>
    <row r="19" spans="1:13" x14ac:dyDescent="0.25">
      <c r="A19" s="10"/>
      <c r="B19" s="7"/>
      <c r="C19" s="13"/>
      <c r="D19" s="16" t="str">
        <f>IF(NOT(ISBLANK($A19)),SUM(B$3:B19)-SUM(C$3:C19),"")</f>
        <v/>
      </c>
      <c r="E19" s="7"/>
      <c r="F19" s="13"/>
      <c r="G19" s="16" t="str">
        <f>IF(NOT(ISBLANK($A19)),SUM(E$3:E19)-SUM(F$3:F19),"")</f>
        <v/>
      </c>
      <c r="H19" s="8"/>
      <c r="I19" s="8"/>
      <c r="J19" s="8"/>
      <c r="K19" s="8"/>
      <c r="L19" s="98" t="str">
        <f>IF(NOT(ISBLANK(A19)),SUMIF($J$3:$J19,$J19,$F$3:$F19)-SUMIF($J$3:$J19,$J19,$E$3:$E19),"")</f>
        <v/>
      </c>
      <c r="M19" s="8"/>
    </row>
    <row r="20" spans="1:13" x14ac:dyDescent="0.25">
      <c r="A20" s="10"/>
      <c r="B20" s="7"/>
      <c r="C20" s="13"/>
      <c r="D20" s="16" t="str">
        <f>IF(NOT(ISBLANK($A20)),SUM(B$3:B20)-SUM(C$3:C20),"")</f>
        <v/>
      </c>
      <c r="E20" s="7"/>
      <c r="F20" s="13"/>
      <c r="G20" s="16" t="str">
        <f>IF(NOT(ISBLANK($A20)),SUM(E$3:E20)-SUM(F$3:F20),"")</f>
        <v/>
      </c>
      <c r="H20" s="8"/>
      <c r="I20" s="8"/>
      <c r="J20" s="8"/>
      <c r="K20" s="8"/>
      <c r="L20" s="98" t="str">
        <f>IF(NOT(ISBLANK(A20)),SUMIF($J$3:$J20,$J20,$F$3:$F20)-SUMIF($J$3:$J20,$J20,$E$3:$E20),"")</f>
        <v/>
      </c>
      <c r="M20" s="8"/>
    </row>
    <row r="21" spans="1:13" x14ac:dyDescent="0.25">
      <c r="A21" s="9"/>
      <c r="B21" s="5"/>
      <c r="C21" s="12"/>
      <c r="D21" s="15" t="str">
        <f>IF(NOT(ISBLANK($A21)),SUM(B$3:B21)-SUM(C$3:C21),"")</f>
        <v/>
      </c>
      <c r="E21" s="5"/>
      <c r="F21" s="12"/>
      <c r="G21" s="15" t="str">
        <f>IF(NOT(ISBLANK($A21)),SUM(E$3:E21)-SUM(F$3:F21),"")</f>
        <v/>
      </c>
      <c r="H21" s="6"/>
      <c r="I21" s="6"/>
      <c r="J21" s="6"/>
      <c r="K21" s="6"/>
      <c r="L21" s="97" t="str">
        <f>IF(NOT(ISBLANK(A21)),SUMIF($J$3:$J21,$J21,$F$3:$F21)-SUMIF($J$3:$J21,$J21,$E$3:$E21),"")</f>
        <v/>
      </c>
      <c r="M21" s="6"/>
    </row>
    <row r="22" spans="1:13" x14ac:dyDescent="0.25">
      <c r="A22" s="9"/>
      <c r="B22" s="5"/>
      <c r="C22" s="12"/>
      <c r="D22" s="15" t="str">
        <f>IF(NOT(ISBLANK($A22)),SUM(B$3:B22)-SUM(C$3:C22),"")</f>
        <v/>
      </c>
      <c r="E22" s="5"/>
      <c r="F22" s="12"/>
      <c r="G22" s="15" t="str">
        <f>IF(NOT(ISBLANK($A22)),SUM(E$3:E22)-SUM(F$3:F22),"")</f>
        <v/>
      </c>
      <c r="H22" s="6"/>
      <c r="I22" s="6"/>
      <c r="J22" s="6"/>
      <c r="K22" s="6"/>
      <c r="L22" s="97" t="str">
        <f>IF(NOT(ISBLANK(A22)),SUMIF($J$3:$J22,$J22,$F$3:$F22)-SUMIF($J$3:$J22,$J22,$E$3:$E22),"")</f>
        <v/>
      </c>
      <c r="M22" s="6"/>
    </row>
    <row r="23" spans="1:13" x14ac:dyDescent="0.25">
      <c r="A23" s="10"/>
      <c r="B23" s="7"/>
      <c r="C23" s="13"/>
      <c r="D23" s="16" t="str">
        <f>IF(NOT(ISBLANK($A23)),SUM(B$3:B23)-SUM(C$3:C23),"")</f>
        <v/>
      </c>
      <c r="E23" s="7"/>
      <c r="F23" s="13"/>
      <c r="G23" s="16" t="str">
        <f>IF(NOT(ISBLANK($A23)),SUM(E$3:E23)-SUM(F$3:F23),"")</f>
        <v/>
      </c>
      <c r="H23" s="8"/>
      <c r="I23" s="8"/>
      <c r="J23" s="8"/>
      <c r="K23" s="8"/>
      <c r="L23" s="98" t="str">
        <f>IF(NOT(ISBLANK(A23)),SUMIF($J$3:$J23,$J23,$F$3:$F23)-SUMIF($J$3:$J23,$J23,$E$3:$E23),"")</f>
        <v/>
      </c>
      <c r="M23" s="8"/>
    </row>
    <row r="24" spans="1:13" ht="15.75" thickBot="1" x14ac:dyDescent="0.3">
      <c r="A24" s="10"/>
      <c r="B24" s="7"/>
      <c r="C24" s="13"/>
      <c r="D24" s="16" t="str">
        <f>IF(NOT(ISBLANK($A24)),SUM(B$3:B24)-SUM(C$3:C24),"")</f>
        <v/>
      </c>
      <c r="E24" s="7"/>
      <c r="F24" s="13"/>
      <c r="G24" s="16" t="str">
        <f>IF(NOT(ISBLANK($A24)),SUM(E$3:E24)-SUM(F$3:F24),"")</f>
        <v/>
      </c>
      <c r="H24" s="8"/>
      <c r="I24" s="8"/>
      <c r="J24" s="8"/>
      <c r="K24" s="8"/>
      <c r="L24" s="98" t="str">
        <f>IF(NOT(ISBLANK(A24)),SUMIF($J$3:$J24,$J24,$F$3:$F24)-SUMIF($J$3:$J24,$J24,$E$3:$E24),"")</f>
        <v/>
      </c>
      <c r="M24" s="8"/>
    </row>
    <row r="25" spans="1:13" ht="19.5" thickBot="1" x14ac:dyDescent="0.35">
      <c r="A25" s="113"/>
      <c r="B25" s="115" t="s">
        <v>36</v>
      </c>
      <c r="C25" s="114"/>
      <c r="D25" s="116">
        <f>SUM(B$3:B24)-SUM(C$3:C24)</f>
        <v>58</v>
      </c>
      <c r="E25" s="115" t="s">
        <v>36</v>
      </c>
      <c r="F25" s="114"/>
      <c r="G25" s="116">
        <f>SUM(E$3:E24)-SUM(F$3:F24)</f>
        <v>0</v>
      </c>
      <c r="H25" s="113"/>
      <c r="I25" s="113"/>
      <c r="J25" s="113"/>
      <c r="K25" s="113"/>
      <c r="L25" s="113"/>
      <c r="M25" s="113"/>
    </row>
  </sheetData>
  <sortState ref="A3:M16">
    <sortCondition ref="A3:A16"/>
  </sortState>
  <mergeCells count="9">
    <mergeCell ref="M1:M2"/>
    <mergeCell ref="L1:L2"/>
    <mergeCell ref="A1:A2"/>
    <mergeCell ref="B1:D1"/>
    <mergeCell ref="E1:G1"/>
    <mergeCell ref="H1:H2"/>
    <mergeCell ref="J1:J2"/>
    <mergeCell ref="K1:K2"/>
    <mergeCell ref="I1:I2"/>
  </mergeCells>
  <dataValidations disablePrompts="1" count="1">
    <dataValidation type="list" allowBlank="1" showInputMessage="1" showErrorMessage="1" sqref="J3:J10">
      <formula1>family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5"/>
  <sheetViews>
    <sheetView topLeftCell="A4" zoomScale="208" zoomScaleNormal="208" workbookViewId="0">
      <selection activeCell="E15" sqref="E15"/>
    </sheetView>
  </sheetViews>
  <sheetFormatPr defaultRowHeight="15" x14ac:dyDescent="0.25"/>
  <cols>
    <col min="1" max="1" width="11.5703125" bestFit="1" customWidth="1"/>
    <col min="2" max="2" width="12.42578125" bestFit="1" customWidth="1"/>
    <col min="3" max="3" width="18.140625" bestFit="1" customWidth="1"/>
  </cols>
  <sheetData>
    <row r="1" spans="1:5" x14ac:dyDescent="0.25">
      <c r="A1" s="95">
        <v>2843.14</v>
      </c>
      <c r="B1" t="s">
        <v>9</v>
      </c>
      <c r="C1" s="95"/>
    </row>
    <row r="2" spans="1:5" x14ac:dyDescent="0.25">
      <c r="A2" s="95">
        <v>-600</v>
      </c>
      <c r="B2" t="s">
        <v>120</v>
      </c>
      <c r="C2" t="s">
        <v>139</v>
      </c>
    </row>
    <row r="3" spans="1:5" x14ac:dyDescent="0.25">
      <c r="A3" s="102">
        <v>-500</v>
      </c>
      <c r="B3" s="103" t="s">
        <v>121</v>
      </c>
      <c r="C3" s="103" t="s">
        <v>139</v>
      </c>
    </row>
    <row r="4" spans="1:5" x14ac:dyDescent="0.25">
      <c r="A4" s="95">
        <v>-75</v>
      </c>
      <c r="B4" t="s">
        <v>122</v>
      </c>
      <c r="C4" t="s">
        <v>139</v>
      </c>
    </row>
    <row r="5" spans="1:5" x14ac:dyDescent="0.25">
      <c r="A5" s="95">
        <v>-100</v>
      </c>
      <c r="B5" s="99" t="s">
        <v>123</v>
      </c>
      <c r="C5" s="99" t="s">
        <v>139</v>
      </c>
    </row>
    <row r="6" spans="1:5" x14ac:dyDescent="0.25">
      <c r="A6" s="95">
        <v>-975</v>
      </c>
      <c r="B6" s="101" t="s">
        <v>124</v>
      </c>
      <c r="C6" s="101" t="s">
        <v>139</v>
      </c>
    </row>
    <row r="7" spans="1:5" x14ac:dyDescent="0.25">
      <c r="A7" s="95">
        <v>-75</v>
      </c>
      <c r="B7" s="104" t="s">
        <v>125</v>
      </c>
      <c r="C7" s="104" t="s">
        <v>139</v>
      </c>
    </row>
    <row r="8" spans="1:5" x14ac:dyDescent="0.25">
      <c r="A8" s="95">
        <v>-50</v>
      </c>
      <c r="B8" t="s">
        <v>130</v>
      </c>
    </row>
    <row r="9" spans="1:5" x14ac:dyDescent="0.25">
      <c r="A9" s="95">
        <v>-100</v>
      </c>
      <c r="B9" t="s">
        <v>127</v>
      </c>
      <c r="C9" t="s">
        <v>139</v>
      </c>
    </row>
    <row r="10" spans="1:5" x14ac:dyDescent="0.25">
      <c r="A10" s="95">
        <v>-75</v>
      </c>
      <c r="B10" s="100" t="s">
        <v>138</v>
      </c>
      <c r="C10" s="100" t="s">
        <v>139</v>
      </c>
    </row>
    <row r="11" spans="1:5" x14ac:dyDescent="0.25">
      <c r="A11" s="95">
        <f>SUM(A1:A10)</f>
        <v>293.13999999999987</v>
      </c>
      <c r="B11" t="s">
        <v>126</v>
      </c>
    </row>
    <row r="13" spans="1:5" x14ac:dyDescent="0.25">
      <c r="B13" t="s">
        <v>2</v>
      </c>
    </row>
    <row r="14" spans="1:5" x14ac:dyDescent="0.25">
      <c r="B14" t="s">
        <v>163</v>
      </c>
      <c r="C14" t="s">
        <v>164</v>
      </c>
      <c r="D14" t="s">
        <v>165</v>
      </c>
    </row>
    <row r="15" spans="1:5" x14ac:dyDescent="0.25">
      <c r="B15" s="95">
        <f>pets_visa_balance+christmas_visa_balance+clothing_visa_balance+swimming_visa_balance+bmw_visa_balance</f>
        <v>-59.370000000001085</v>
      </c>
      <c r="C15" s="118">
        <f>691.05-137.34</f>
        <v>553.70999999999992</v>
      </c>
      <c r="D15" s="95">
        <f>C15+B15</f>
        <v>494.33999999999884</v>
      </c>
      <c r="E15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L53"/>
  <sheetViews>
    <sheetView topLeftCell="A22" zoomScaleNormal="100" workbookViewId="0">
      <selection activeCell="A45" sqref="A45"/>
    </sheetView>
  </sheetViews>
  <sheetFormatPr defaultRowHeight="15" x14ac:dyDescent="0.25"/>
  <cols>
    <col min="1" max="1" width="17.5703125" style="32" bestFit="1" customWidth="1"/>
    <col min="2" max="2" width="39.7109375" style="32" bestFit="1" customWidth="1"/>
    <col min="3" max="4" width="9.140625" style="32"/>
    <col min="5" max="5" width="12.140625" style="32" customWidth="1"/>
    <col min="6" max="6" width="9" style="32" bestFit="1" customWidth="1"/>
    <col min="7" max="7" width="50" style="32" customWidth="1"/>
    <col min="8" max="8" width="13.5703125" style="32" customWidth="1"/>
    <col min="9" max="11" width="10.7109375" style="32" customWidth="1"/>
    <col min="12" max="16384" width="9.140625" style="32"/>
  </cols>
  <sheetData>
    <row r="1" spans="1:12" ht="21" x14ac:dyDescent="0.35">
      <c r="A1" s="142" t="s">
        <v>76</v>
      </c>
      <c r="B1" s="143"/>
      <c r="D1" s="142" t="s">
        <v>110</v>
      </c>
      <c r="E1" s="145"/>
      <c r="F1" s="145"/>
      <c r="G1" s="145"/>
      <c r="H1" s="145"/>
      <c r="I1" s="145"/>
      <c r="J1" s="145"/>
      <c r="K1" s="143"/>
    </row>
    <row r="2" spans="1:12" ht="15" customHeight="1" x14ac:dyDescent="0.35">
      <c r="A2" s="74">
        <v>2500</v>
      </c>
      <c r="B2" s="40" t="s">
        <v>109</v>
      </c>
      <c r="D2" s="53"/>
      <c r="E2" s="134" t="s">
        <v>108</v>
      </c>
      <c r="F2" s="134"/>
      <c r="G2" s="134"/>
      <c r="H2" s="134"/>
      <c r="I2" s="134"/>
      <c r="J2" s="52">
        <v>43160</v>
      </c>
      <c r="K2" s="51">
        <v>43163</v>
      </c>
    </row>
    <row r="3" spans="1:12" ht="15" customHeight="1" x14ac:dyDescent="0.35">
      <c r="A3" s="74">
        <v>830</v>
      </c>
      <c r="B3" s="40" t="s">
        <v>111</v>
      </c>
      <c r="D3" s="50"/>
      <c r="E3" s="140" t="s">
        <v>99</v>
      </c>
      <c r="F3" s="139" t="s">
        <v>98</v>
      </c>
      <c r="G3" s="139"/>
      <c r="H3" s="135" t="s">
        <v>66</v>
      </c>
      <c r="I3" s="137">
        <f>J2-1</f>
        <v>43159</v>
      </c>
      <c r="J3" s="135" t="s">
        <v>65</v>
      </c>
      <c r="K3" s="131">
        <f>K2+1</f>
        <v>43164</v>
      </c>
    </row>
    <row r="4" spans="1:12" ht="15" customHeight="1" x14ac:dyDescent="0.35">
      <c r="A4" s="74">
        <v>750</v>
      </c>
      <c r="B4" s="40" t="s">
        <v>112</v>
      </c>
      <c r="D4" s="49"/>
      <c r="E4" s="141"/>
      <c r="F4" s="133" t="s">
        <v>97</v>
      </c>
      <c r="G4" s="133"/>
      <c r="H4" s="136"/>
      <c r="I4" s="138"/>
      <c r="J4" s="136"/>
      <c r="K4" s="132"/>
    </row>
    <row r="5" spans="1:12" ht="15" customHeight="1" x14ac:dyDescent="0.35">
      <c r="A5" s="74">
        <v>4782.16</v>
      </c>
      <c r="B5" s="40" t="s">
        <v>107</v>
      </c>
      <c r="D5" s="53"/>
      <c r="E5" s="134" t="s">
        <v>104</v>
      </c>
      <c r="F5" s="134"/>
      <c r="G5" s="134"/>
      <c r="H5" s="134"/>
      <c r="I5" s="134"/>
      <c r="J5" s="52">
        <v>43267</v>
      </c>
      <c r="K5" s="51">
        <v>43268</v>
      </c>
    </row>
    <row r="6" spans="1:12" ht="15" customHeight="1" x14ac:dyDescent="0.35">
      <c r="A6" s="74">
        <v>4210.3999999999996</v>
      </c>
      <c r="B6" s="40" t="s">
        <v>106</v>
      </c>
      <c r="D6" s="50"/>
      <c r="E6" s="140" t="s">
        <v>99</v>
      </c>
      <c r="F6" s="139" t="s">
        <v>103</v>
      </c>
      <c r="G6" s="139"/>
      <c r="H6" s="82"/>
      <c r="I6" s="137">
        <f>J5-IF(L6,1,0)</f>
        <v>43266</v>
      </c>
      <c r="J6" s="135" t="s">
        <v>65</v>
      </c>
      <c r="K6" s="131">
        <f>K5</f>
        <v>43268</v>
      </c>
      <c r="L6" s="84" t="b">
        <v>1</v>
      </c>
    </row>
    <row r="7" spans="1:12" ht="15" customHeight="1" x14ac:dyDescent="0.35">
      <c r="A7" s="57">
        <v>0</v>
      </c>
      <c r="B7" s="40" t="s">
        <v>105</v>
      </c>
      <c r="D7" s="49"/>
      <c r="E7" s="141"/>
      <c r="F7" s="133" t="s">
        <v>101</v>
      </c>
      <c r="G7" s="133"/>
      <c r="H7" s="83"/>
      <c r="I7" s="138"/>
      <c r="J7" s="136"/>
      <c r="K7" s="132"/>
    </row>
    <row r="8" spans="1:12" ht="15" customHeight="1" x14ac:dyDescent="0.35">
      <c r="A8" s="64">
        <f>2*F48</f>
        <v>3800</v>
      </c>
      <c r="B8" s="40" t="s">
        <v>57</v>
      </c>
      <c r="D8" s="53"/>
      <c r="E8" s="134" t="s">
        <v>100</v>
      </c>
      <c r="F8" s="134"/>
      <c r="G8" s="134"/>
      <c r="H8" s="134"/>
      <c r="I8" s="134"/>
      <c r="J8" s="52">
        <v>43279</v>
      </c>
      <c r="K8" s="51">
        <v>43282</v>
      </c>
    </row>
    <row r="9" spans="1:12" ht="15" customHeight="1" x14ac:dyDescent="0.35">
      <c r="A9" s="64">
        <f>F18+F20</f>
        <v>1722</v>
      </c>
      <c r="B9" s="40" t="s">
        <v>102</v>
      </c>
      <c r="D9" s="50"/>
      <c r="E9" s="140" t="s">
        <v>99</v>
      </c>
      <c r="F9" s="139" t="s">
        <v>98</v>
      </c>
      <c r="G9" s="139"/>
      <c r="H9" s="135" t="s">
        <v>66</v>
      </c>
      <c r="I9" s="137">
        <f>J8-1</f>
        <v>43278</v>
      </c>
      <c r="J9" s="135" t="s">
        <v>65</v>
      </c>
      <c r="K9" s="131">
        <f>K8+1</f>
        <v>43283</v>
      </c>
    </row>
    <row r="10" spans="1:12" ht="15" customHeight="1" x14ac:dyDescent="0.35">
      <c r="A10" s="64">
        <f>F42*(F43+F41*F44)+F45+F41*F46</f>
        <v>2800</v>
      </c>
      <c r="B10" s="40" t="str">
        <f>"Nationals Winnipeg, "&amp;$F$41&amp;" days"</f>
        <v>Nationals Winnipeg, 8 days</v>
      </c>
      <c r="D10" s="49"/>
      <c r="E10" s="141"/>
      <c r="F10" s="133" t="s">
        <v>97</v>
      </c>
      <c r="G10" s="133"/>
      <c r="H10" s="136"/>
      <c r="I10" s="138"/>
      <c r="J10" s="136"/>
      <c r="K10" s="132"/>
    </row>
    <row r="11" spans="1:12" ht="15" customHeight="1" x14ac:dyDescent="0.25">
      <c r="A11" s="64">
        <f>IF(G23,2*F33+F26*F27*F34+F35+F36,0)</f>
        <v>0</v>
      </c>
      <c r="B11" s="40" t="str">
        <f>"Easterns Windsor, "&amp;$F$26&amp;" days (Flying)"</f>
        <v>Easterns Windsor, 6 days (Flying)</v>
      </c>
      <c r="D11" s="43"/>
      <c r="E11" s="41"/>
      <c r="F11" s="58"/>
      <c r="G11" s="41"/>
      <c r="K11" s="70"/>
    </row>
    <row r="12" spans="1:12" ht="21.75" thickBot="1" x14ac:dyDescent="0.4">
      <c r="A12" s="63">
        <f>SUM(A2:A11)</f>
        <v>21394.559999999998</v>
      </c>
      <c r="B12" s="62" t="s">
        <v>89</v>
      </c>
      <c r="D12" s="43"/>
      <c r="E12" s="41" t="s">
        <v>10</v>
      </c>
      <c r="F12" s="58">
        <f>1000*80/1000*1.3</f>
        <v>104</v>
      </c>
      <c r="G12" s="41" t="s">
        <v>96</v>
      </c>
      <c r="K12" s="70"/>
    </row>
    <row r="13" spans="1:12" ht="15" customHeight="1" x14ac:dyDescent="0.25">
      <c r="D13" s="43"/>
      <c r="E13" s="41" t="s">
        <v>95</v>
      </c>
      <c r="F13" s="57">
        <v>40</v>
      </c>
      <c r="G13" s="41" t="s">
        <v>94</v>
      </c>
      <c r="H13" s="73"/>
      <c r="I13" s="72"/>
      <c r="J13" s="71"/>
      <c r="K13" s="70"/>
    </row>
    <row r="14" spans="1:12" ht="15" customHeight="1" thickBot="1" x14ac:dyDescent="0.3">
      <c r="D14" s="43"/>
      <c r="E14" s="41" t="s">
        <v>93</v>
      </c>
      <c r="F14" s="57">
        <v>150</v>
      </c>
      <c r="G14" s="41" t="s">
        <v>71</v>
      </c>
      <c r="H14" s="41"/>
      <c r="I14" s="41"/>
      <c r="J14" s="41"/>
      <c r="K14" s="40"/>
    </row>
    <row r="15" spans="1:12" ht="21" x14ac:dyDescent="0.35">
      <c r="A15" s="142" t="s">
        <v>82</v>
      </c>
      <c r="B15" s="143"/>
      <c r="D15" s="43"/>
      <c r="E15" s="41" t="s">
        <v>63</v>
      </c>
      <c r="F15" s="41">
        <f>(K3-I3)+(K6-I6)+(K9-I9)</f>
        <v>12</v>
      </c>
      <c r="G15" s="69" t="s">
        <v>92</v>
      </c>
      <c r="H15" s="41"/>
      <c r="I15" s="41"/>
      <c r="J15" s="41"/>
      <c r="K15" s="40"/>
    </row>
    <row r="16" spans="1:12" ht="15" customHeight="1" x14ac:dyDescent="0.25">
      <c r="A16" s="66">
        <f>A2</f>
        <v>2500</v>
      </c>
      <c r="B16" s="40" t="str">
        <f>B2</f>
        <v>meet fees</v>
      </c>
      <c r="D16" s="43"/>
      <c r="E16" s="41" t="s">
        <v>62</v>
      </c>
      <c r="F16" s="68">
        <v>2</v>
      </c>
      <c r="G16" s="41"/>
      <c r="H16" s="41"/>
      <c r="I16" s="41"/>
      <c r="J16" s="41"/>
      <c r="K16" s="40"/>
    </row>
    <row r="17" spans="1:11" ht="15" customHeight="1" x14ac:dyDescent="0.25">
      <c r="A17" s="66">
        <f t="shared" ref="A17:B18" si="0">A3</f>
        <v>830</v>
      </c>
      <c r="B17" s="40" t="str">
        <f t="shared" si="0"/>
        <v>Belleville</v>
      </c>
      <c r="D17" s="43"/>
      <c r="E17" s="41" t="s">
        <v>91</v>
      </c>
      <c r="F17" s="41"/>
      <c r="G17" s="41"/>
      <c r="H17" s="41"/>
      <c r="I17" s="41"/>
      <c r="J17" s="41"/>
      <c r="K17" s="40"/>
    </row>
    <row r="18" spans="1:11" ht="15" customHeight="1" x14ac:dyDescent="0.25">
      <c r="A18" s="66">
        <f t="shared" si="0"/>
        <v>750</v>
      </c>
      <c r="B18" s="40" t="str">
        <f t="shared" si="0"/>
        <v>Point Claire</v>
      </c>
      <c r="D18" s="43"/>
      <c r="E18" s="67">
        <f>F15*F16</f>
        <v>24</v>
      </c>
      <c r="F18" s="65">
        <f>E18*F13</f>
        <v>960</v>
      </c>
      <c r="G18" s="41" t="str">
        <f>(K3-I3)+(K9-I9)&amp;" days of Championships, "&amp;K6-I6&amp;" days of Festival"</f>
        <v>10 days of Championships, 2 days of Festival</v>
      </c>
      <c r="H18" s="41"/>
      <c r="I18" s="41"/>
      <c r="J18" s="41"/>
      <c r="K18" s="40"/>
    </row>
    <row r="19" spans="1:11" ht="15" customHeight="1" x14ac:dyDescent="0.25">
      <c r="A19" s="66">
        <f t="shared" ref="A19:B24" si="1">A5</f>
        <v>4782.16</v>
      </c>
      <c r="B19" s="40" t="str">
        <f t="shared" si="1"/>
        <v>William</v>
      </c>
      <c r="D19" s="43"/>
      <c r="E19" s="41" t="s">
        <v>90</v>
      </c>
      <c r="F19" s="41"/>
      <c r="G19" s="41"/>
      <c r="H19" s="41"/>
      <c r="I19" s="41"/>
      <c r="J19" s="41"/>
      <c r="K19" s="40"/>
    </row>
    <row r="20" spans="1:11" ht="15" customHeight="1" x14ac:dyDescent="0.25">
      <c r="A20" s="66">
        <f t="shared" si="1"/>
        <v>4210.3999999999996</v>
      </c>
      <c r="B20" s="40" t="str">
        <f t="shared" si="1"/>
        <v>Olivier</v>
      </c>
      <c r="D20" s="43"/>
      <c r="E20" s="41">
        <v>3</v>
      </c>
      <c r="F20" s="65">
        <f>E20*(F14+F12)</f>
        <v>762</v>
      </c>
      <c r="G20" s="41"/>
      <c r="H20" s="41"/>
      <c r="I20" s="41"/>
      <c r="J20" s="41"/>
      <c r="K20" s="40"/>
    </row>
    <row r="21" spans="1:11" ht="15" customHeight="1" thickBot="1" x14ac:dyDescent="0.3">
      <c r="A21" s="66">
        <f t="shared" si="1"/>
        <v>0</v>
      </c>
      <c r="B21" s="40" t="str">
        <f t="shared" si="1"/>
        <v>Olivier Skiing</v>
      </c>
      <c r="D21" s="36"/>
      <c r="E21" s="34"/>
      <c r="F21" s="34"/>
      <c r="G21" s="34"/>
      <c r="H21" s="34"/>
      <c r="I21" s="34"/>
      <c r="J21" s="34"/>
      <c r="K21" s="33"/>
    </row>
    <row r="22" spans="1:11" ht="21" x14ac:dyDescent="0.35">
      <c r="A22" s="66">
        <f t="shared" si="1"/>
        <v>3800</v>
      </c>
      <c r="B22" s="40" t="str">
        <f t="shared" si="1"/>
        <v>Training Camp</v>
      </c>
      <c r="D22" s="142" t="s">
        <v>88</v>
      </c>
      <c r="E22" s="145"/>
      <c r="F22" s="145"/>
      <c r="G22" s="145"/>
      <c r="H22" s="55" t="s">
        <v>87</v>
      </c>
      <c r="I22" s="55"/>
      <c r="J22" s="61">
        <v>43202</v>
      </c>
      <c r="K22" s="60">
        <v>43205</v>
      </c>
    </row>
    <row r="23" spans="1:11" ht="21" x14ac:dyDescent="0.35">
      <c r="A23" s="66">
        <f t="shared" si="1"/>
        <v>1722</v>
      </c>
      <c r="B23" s="40" t="str">
        <f t="shared" si="1"/>
        <v xml:space="preserve">Toronto Meets </v>
      </c>
      <c r="D23" s="81" t="str">
        <f>IF(G23,"","NOT ")&amp;"ATTENDING"</f>
        <v>NOT ATTENDING</v>
      </c>
      <c r="E23" s="77"/>
      <c r="F23" s="77"/>
      <c r="G23" s="77" t="b">
        <v>0</v>
      </c>
      <c r="H23" s="78"/>
      <c r="I23" s="78"/>
      <c r="J23" s="79"/>
      <c r="K23" s="80"/>
    </row>
    <row r="24" spans="1:11" ht="15" customHeight="1" x14ac:dyDescent="0.25">
      <c r="A24" s="66">
        <f t="shared" si="1"/>
        <v>2800</v>
      </c>
      <c r="B24" s="40" t="str">
        <f t="shared" si="1"/>
        <v>Nationals Winnipeg, 8 days</v>
      </c>
      <c r="D24" s="43"/>
      <c r="E24" s="144" t="s">
        <v>86</v>
      </c>
      <c r="F24" s="139" t="s">
        <v>85</v>
      </c>
      <c r="G24" s="139"/>
      <c r="H24" s="135" t="s">
        <v>66</v>
      </c>
      <c r="I24" s="137">
        <f>J22-2</f>
        <v>43200</v>
      </c>
      <c r="J24" s="135" t="s">
        <v>65</v>
      </c>
      <c r="K24" s="131">
        <f>K22+1</f>
        <v>43206</v>
      </c>
    </row>
    <row r="25" spans="1:11" ht="15" customHeight="1" thickBot="1" x14ac:dyDescent="0.3">
      <c r="A25" s="64">
        <f>IF(G23,F28+F26*F27*F30+F31+F29,0)</f>
        <v>0</v>
      </c>
      <c r="B25" s="40" t="str">
        <f>"Easterns Windsor, "&amp;$F$26&amp;" days (Driving 10 hours)"</f>
        <v>Easterns Windsor, 6 days (Driving 10 hours)</v>
      </c>
      <c r="D25" s="43"/>
      <c r="E25" s="144"/>
      <c r="F25" s="139" t="s">
        <v>84</v>
      </c>
      <c r="G25" s="139"/>
      <c r="H25" s="135"/>
      <c r="I25" s="137"/>
      <c r="J25" s="135"/>
      <c r="K25" s="131"/>
    </row>
    <row r="26" spans="1:11" ht="22.5" thickTop="1" thickBot="1" x14ac:dyDescent="0.4">
      <c r="A26" s="63">
        <f>SUM(A16:A25)</f>
        <v>21394.559999999998</v>
      </c>
      <c r="B26" s="62" t="s">
        <v>89</v>
      </c>
      <c r="D26" s="43"/>
      <c r="E26" s="41" t="s">
        <v>63</v>
      </c>
      <c r="F26" s="48">
        <f>K24-I24</f>
        <v>6</v>
      </c>
      <c r="G26" s="41"/>
      <c r="H26" s="41"/>
      <c r="I26" s="41"/>
      <c r="J26" s="41"/>
      <c r="K26" s="40"/>
    </row>
    <row r="27" spans="1:11" ht="15" customHeight="1" x14ac:dyDescent="0.35">
      <c r="A27" s="75"/>
      <c r="B27" s="76"/>
      <c r="D27" s="43"/>
      <c r="E27" s="41" t="s">
        <v>62</v>
      </c>
      <c r="F27" s="47">
        <v>2</v>
      </c>
      <c r="G27" s="41"/>
      <c r="H27" s="41"/>
      <c r="I27" s="41"/>
      <c r="J27" s="41"/>
      <c r="K27" s="40"/>
    </row>
    <row r="28" spans="1:11" ht="15" customHeight="1" x14ac:dyDescent="0.25">
      <c r="D28" s="43" t="s">
        <v>82</v>
      </c>
      <c r="E28" s="41" t="s">
        <v>10</v>
      </c>
      <c r="F28" s="58">
        <f>1800*80/1000*1.3</f>
        <v>187.20000000000002</v>
      </c>
      <c r="G28" s="41" t="s">
        <v>81</v>
      </c>
      <c r="H28" s="41"/>
      <c r="I28" s="41"/>
      <c r="J28" s="41"/>
      <c r="K28" s="40"/>
    </row>
    <row r="29" spans="1:11" ht="15" customHeight="1" x14ac:dyDescent="0.25">
      <c r="D29" s="43"/>
      <c r="E29" s="41" t="s">
        <v>79</v>
      </c>
      <c r="F29" s="58">
        <v>120</v>
      </c>
      <c r="G29" s="41"/>
      <c r="H29" s="41"/>
      <c r="I29" s="41"/>
      <c r="J29" s="41"/>
      <c r="K29" s="40"/>
    </row>
    <row r="30" spans="1:11" ht="15.75" thickBot="1" x14ac:dyDescent="0.3">
      <c r="D30" s="43"/>
      <c r="E30" s="41" t="str">
        <f t="shared" ref="E30:G31" si="2">E13</f>
        <v>Food</v>
      </c>
      <c r="F30" s="57">
        <f t="shared" si="2"/>
        <v>40</v>
      </c>
      <c r="G30" s="58" t="str">
        <f t="shared" si="2"/>
        <v>Per Day/Per person</v>
      </c>
      <c r="H30" s="41"/>
      <c r="I30" s="41"/>
      <c r="J30" s="41"/>
      <c r="K30" s="40"/>
    </row>
    <row r="31" spans="1:11" ht="21" x14ac:dyDescent="0.35">
      <c r="A31" s="142" t="s">
        <v>83</v>
      </c>
      <c r="B31" s="143"/>
      <c r="D31" s="43"/>
      <c r="E31" s="41" t="str">
        <f t="shared" si="2"/>
        <v>Grocery</v>
      </c>
      <c r="F31" s="57">
        <f t="shared" si="2"/>
        <v>150</v>
      </c>
      <c r="G31" s="58" t="str">
        <f t="shared" si="2"/>
        <v>Per Trip</v>
      </c>
      <c r="H31" s="41"/>
      <c r="I31" s="41"/>
      <c r="J31" s="41"/>
      <c r="K31" s="40"/>
    </row>
    <row r="32" spans="1:11" ht="15" customHeight="1" thickBot="1" x14ac:dyDescent="0.3">
      <c r="A32" s="87">
        <f>F41+IF(G23,F26,0)+F15</f>
        <v>20</v>
      </c>
      <c r="B32" s="40" t="s">
        <v>80</v>
      </c>
      <c r="D32" s="43"/>
      <c r="E32" s="41"/>
      <c r="F32" s="58"/>
      <c r="G32" s="41"/>
      <c r="H32" s="41"/>
      <c r="I32" s="41"/>
      <c r="J32" s="41"/>
      <c r="K32" s="40"/>
    </row>
    <row r="33" spans="1:11" ht="15.75" thickTop="1" x14ac:dyDescent="0.25">
      <c r="A33" s="96">
        <v>2</v>
      </c>
      <c r="B33" s="40" t="s">
        <v>128</v>
      </c>
      <c r="D33" s="43" t="s">
        <v>76</v>
      </c>
      <c r="E33" s="41" t="s">
        <v>75</v>
      </c>
      <c r="F33" s="57">
        <v>450</v>
      </c>
      <c r="G33" s="41" t="s">
        <v>74</v>
      </c>
      <c r="H33" s="45" t="s">
        <v>73</v>
      </c>
      <c r="I33" s="46">
        <f>I24</f>
        <v>43200</v>
      </c>
      <c r="J33" s="45" t="s">
        <v>59</v>
      </c>
      <c r="K33" s="44">
        <f>K24</f>
        <v>43206</v>
      </c>
    </row>
    <row r="34" spans="1:11" x14ac:dyDescent="0.25">
      <c r="A34" s="96">
        <f>A32-A33</f>
        <v>18</v>
      </c>
      <c r="B34" s="40" t="s">
        <v>129</v>
      </c>
      <c r="D34" s="43"/>
      <c r="E34" s="41" t="str">
        <f>E30</f>
        <v>Food</v>
      </c>
      <c r="F34" s="57">
        <v>70</v>
      </c>
      <c r="G34" s="41" t="str">
        <f>G30</f>
        <v>Per Day/Per person</v>
      </c>
      <c r="H34" s="41"/>
      <c r="I34" s="41"/>
      <c r="J34" s="41"/>
      <c r="K34" s="40"/>
    </row>
    <row r="35" spans="1:11" ht="15" customHeight="1" x14ac:dyDescent="0.25">
      <c r="A35" s="59">
        <v>20000</v>
      </c>
      <c r="B35" s="40" t="s">
        <v>78</v>
      </c>
      <c r="D35" s="43"/>
      <c r="E35" s="41" t="str">
        <f>E31</f>
        <v>Grocery</v>
      </c>
      <c r="F35" s="57">
        <v>20</v>
      </c>
      <c r="G35" s="41" t="str">
        <f>G31</f>
        <v>Per Trip</v>
      </c>
      <c r="H35" s="41"/>
      <c r="I35" s="41"/>
      <c r="J35" s="41"/>
      <c r="K35" s="40"/>
    </row>
    <row r="36" spans="1:11" ht="21.75" thickBot="1" x14ac:dyDescent="0.4">
      <c r="A36" s="86">
        <f>A35*A33</f>
        <v>40000</v>
      </c>
      <c r="B36" s="62" t="s">
        <v>77</v>
      </c>
      <c r="D36" s="36"/>
      <c r="E36" s="34" t="s">
        <v>72</v>
      </c>
      <c r="F36" s="56">
        <v>80</v>
      </c>
      <c r="G36" s="34" t="s">
        <v>71</v>
      </c>
      <c r="H36" s="34"/>
      <c r="I36" s="34"/>
      <c r="J36" s="34"/>
      <c r="K36" s="33"/>
    </row>
    <row r="37" spans="1:11" ht="21" x14ac:dyDescent="0.35">
      <c r="A37" s="85">
        <v>175</v>
      </c>
      <c r="B37" s="40" t="s">
        <v>115</v>
      </c>
      <c r="D37" s="142" t="s">
        <v>70</v>
      </c>
      <c r="E37" s="145"/>
      <c r="F37" s="145"/>
      <c r="G37" s="145"/>
      <c r="I37" s="55"/>
      <c r="K37" s="54"/>
    </row>
    <row r="38" spans="1:11" ht="21.75" thickBot="1" x14ac:dyDescent="0.4">
      <c r="A38" s="63">
        <f>A34*A37</f>
        <v>3150</v>
      </c>
      <c r="B38" s="62" t="s">
        <v>116</v>
      </c>
      <c r="D38" s="53"/>
      <c r="E38" s="134" t="s">
        <v>69</v>
      </c>
      <c r="F38" s="134"/>
      <c r="G38" s="134"/>
      <c r="H38" s="134"/>
      <c r="I38" s="134"/>
      <c r="J38" s="52">
        <v>43306</v>
      </c>
      <c r="K38" s="51">
        <v>43311</v>
      </c>
    </row>
    <row r="39" spans="1:11" ht="15" customHeight="1" x14ac:dyDescent="0.35">
      <c r="D39" s="50"/>
      <c r="E39" s="140" t="s">
        <v>68</v>
      </c>
      <c r="F39" s="139" t="s">
        <v>67</v>
      </c>
      <c r="G39" s="139"/>
      <c r="H39" s="135" t="s">
        <v>66</v>
      </c>
      <c r="I39" s="137">
        <f>J38-2</f>
        <v>43304</v>
      </c>
      <c r="J39" s="135" t="s">
        <v>65</v>
      </c>
      <c r="K39" s="131">
        <f>K38+1</f>
        <v>43312</v>
      </c>
    </row>
    <row r="40" spans="1:11" ht="21.75" thickBot="1" x14ac:dyDescent="0.4">
      <c r="D40" s="49"/>
      <c r="E40" s="141"/>
      <c r="F40" s="133" t="s">
        <v>64</v>
      </c>
      <c r="G40" s="133"/>
      <c r="H40" s="136"/>
      <c r="I40" s="138"/>
      <c r="J40" s="136"/>
      <c r="K40" s="132"/>
    </row>
    <row r="41" spans="1:11" ht="15" customHeight="1" thickTop="1" thickBot="1" x14ac:dyDescent="0.3">
      <c r="D41" s="43"/>
      <c r="E41" s="41" t="s">
        <v>63</v>
      </c>
      <c r="F41" s="48">
        <f>K39-I39</f>
        <v>8</v>
      </c>
      <c r="G41" s="41"/>
      <c r="H41" s="41"/>
      <c r="I41" s="41"/>
      <c r="J41" s="41"/>
      <c r="K41" s="40"/>
    </row>
    <row r="42" spans="1:11" ht="15" customHeight="1" thickTop="1" x14ac:dyDescent="0.35">
      <c r="A42" s="142" t="s">
        <v>117</v>
      </c>
      <c r="B42" s="143"/>
      <c r="D42" s="43"/>
      <c r="E42" s="41" t="s">
        <v>62</v>
      </c>
      <c r="F42" s="47">
        <v>2</v>
      </c>
      <c r="G42" s="41"/>
      <c r="H42" s="41"/>
      <c r="I42" s="41"/>
      <c r="J42" s="41"/>
      <c r="K42" s="40"/>
    </row>
    <row r="43" spans="1:11" ht="15.75" thickBot="1" x14ac:dyDescent="0.3">
      <c r="A43" s="88">
        <f>'Swim Budget'!A12</f>
        <v>21394.559999999998</v>
      </c>
      <c r="B43" s="89" t="s">
        <v>113</v>
      </c>
      <c r="D43" s="43"/>
      <c r="E43" s="41" t="s">
        <v>61</v>
      </c>
      <c r="F43" s="42">
        <v>750</v>
      </c>
      <c r="G43" s="41" t="str">
        <f>G33</f>
        <v>Per Person</v>
      </c>
      <c r="H43" s="45" t="s">
        <v>60</v>
      </c>
      <c r="I43" s="46">
        <f>I39</f>
        <v>43304</v>
      </c>
      <c r="J43" s="45" t="s">
        <v>59</v>
      </c>
      <c r="K43" s="44">
        <f>K39</f>
        <v>43312</v>
      </c>
    </row>
    <row r="44" spans="1:11" ht="15.75" thickTop="1" x14ac:dyDescent="0.25">
      <c r="A44" s="90">
        <f>3950+3300</f>
        <v>7250</v>
      </c>
      <c r="B44" s="89" t="s">
        <v>114</v>
      </c>
      <c r="D44" s="43"/>
      <c r="E44" s="41" t="str">
        <f>E34</f>
        <v>Food</v>
      </c>
      <c r="F44" s="42">
        <f>F34</f>
        <v>70</v>
      </c>
      <c r="G44" s="41" t="str">
        <f>G34</f>
        <v>Per Day/Per person</v>
      </c>
      <c r="H44" s="41"/>
      <c r="I44" s="41"/>
      <c r="J44" s="41"/>
      <c r="K44" s="40"/>
    </row>
    <row r="45" spans="1:11" ht="15" customHeight="1" thickBot="1" x14ac:dyDescent="0.3">
      <c r="A45" s="94">
        <f ca="1">DATEDIF(TODAY(),DATE(2018,8,1),"m")*2</f>
        <v>16</v>
      </c>
      <c r="B45" s="93" t="s">
        <v>166</v>
      </c>
      <c r="C45" s="84">
        <f ca="1">(annual_budget-already_paid)/installments_remain</f>
        <v>884.03499999999985</v>
      </c>
      <c r="D45" s="43"/>
      <c r="E45" s="41" t="str">
        <f>E35</f>
        <v>Grocery</v>
      </c>
      <c r="F45" s="42">
        <f>F35</f>
        <v>20</v>
      </c>
      <c r="G45" s="41" t="s">
        <v>58</v>
      </c>
      <c r="H45" s="41"/>
      <c r="I45" s="41"/>
      <c r="J45" s="41"/>
      <c r="K45" s="40"/>
    </row>
    <row r="46" spans="1:11" ht="15" customHeight="1" thickBot="1" x14ac:dyDescent="0.35">
      <c r="A46" s="146" t="s">
        <v>118</v>
      </c>
      <c r="B46" s="147"/>
      <c r="C46" s="84">
        <f ca="1">((annual_budget-US_training_camp)*2-already_paid)/(installments_remain+24)</f>
        <v>793.47799999999984</v>
      </c>
      <c r="D46" s="36"/>
      <c r="E46" s="34" t="str">
        <f>E36</f>
        <v>Cabs</v>
      </c>
      <c r="F46" s="39">
        <v>20</v>
      </c>
      <c r="G46" s="34" t="s">
        <v>58</v>
      </c>
      <c r="H46" s="34"/>
      <c r="I46" s="34"/>
      <c r="J46" s="34"/>
      <c r="K46" s="33"/>
    </row>
    <row r="47" spans="1:11" ht="21" x14ac:dyDescent="0.35">
      <c r="A47" s="91">
        <f ca="1">ROUNDUP(C45,-1)</f>
        <v>890</v>
      </c>
      <c r="B47" s="89" t="str">
        <f ca="1">"Rest of this year "&amp;TEXT(C45,"($###.00)")</f>
        <v>Rest of this year ($884.04)</v>
      </c>
      <c r="C47" s="84">
        <f>(annual_budget-2*US_training_camp)/24</f>
        <v>733.10666666666657</v>
      </c>
      <c r="D47" s="142" t="s">
        <v>57</v>
      </c>
      <c r="E47" s="145"/>
      <c r="F47" s="145"/>
      <c r="G47" s="145"/>
      <c r="H47" s="38"/>
      <c r="I47" s="38"/>
      <c r="J47" s="38"/>
      <c r="K47" s="37"/>
    </row>
    <row r="48" spans="1:11" ht="15.75" thickBot="1" x14ac:dyDescent="0.3">
      <c r="A48" s="91">
        <f t="shared" ref="A48:A49" ca="1" si="3">ROUNDUP(C46,-1)</f>
        <v>800</v>
      </c>
      <c r="B48" s="89" t="str">
        <f ca="1">"Ammortize next year "&amp;TEXT(C46,"($###.00)")</f>
        <v>Ammortize next year ($793.48)</v>
      </c>
      <c r="D48" s="36"/>
      <c r="E48" s="34" t="s">
        <v>56</v>
      </c>
      <c r="F48" s="35">
        <v>1900</v>
      </c>
      <c r="G48" s="34"/>
      <c r="H48" s="34"/>
      <c r="I48" s="34"/>
      <c r="J48" s="34"/>
      <c r="K48" s="33"/>
    </row>
    <row r="49" spans="1:3" ht="15.75" thickBot="1" x14ac:dyDescent="0.3">
      <c r="A49" s="92">
        <f t="shared" si="3"/>
        <v>740</v>
      </c>
      <c r="B49" s="93" t="str">
        <f>"Next Year Alone "&amp;TEXT(C47,"($###.00)")</f>
        <v>Next Year Alone ($733.11)</v>
      </c>
      <c r="C49" s="84">
        <f ca="1">(annual_budget+hotel_cost-already_paid)/installments_remain</f>
        <v>1080.9099999999999</v>
      </c>
    </row>
    <row r="50" spans="1:3" ht="18.75" x14ac:dyDescent="0.3">
      <c r="A50" s="129" t="s">
        <v>119</v>
      </c>
      <c r="B50" s="130"/>
      <c r="C50" s="84">
        <f ca="1">((annual_budget+hotel_cost-US_training_camp)*2-already_paid)/(installments_remain+24)</f>
        <v>950.97799999999984</v>
      </c>
    </row>
    <row r="51" spans="1:3" x14ac:dyDescent="0.25">
      <c r="A51" s="91">
        <f ca="1">ROUNDUP(C49,-1)</f>
        <v>1090</v>
      </c>
      <c r="B51" s="89" t="str">
        <f ca="1">"Rest of this year "&amp;TEXT(C49,"($###.00)")</f>
        <v>Rest of this year ($1080.91)</v>
      </c>
      <c r="C51" s="84">
        <f>(annual_budget+hotel_cost-2*US_training_camp)/24</f>
        <v>864.35666666666657</v>
      </c>
    </row>
    <row r="52" spans="1:3" x14ac:dyDescent="0.25">
      <c r="A52" s="91">
        <f t="shared" ref="A52:A53" ca="1" si="4">ROUNDUP(C50,-1)</f>
        <v>960</v>
      </c>
      <c r="B52" s="89" t="str">
        <f ca="1">"Ammortize next year "&amp;TEXT(C50,"($###.00)")</f>
        <v>Ammortize next year ($950.98)</v>
      </c>
    </row>
    <row r="53" spans="1:3" ht="15.75" thickBot="1" x14ac:dyDescent="0.3">
      <c r="A53" s="92">
        <f t="shared" si="4"/>
        <v>870</v>
      </c>
      <c r="B53" s="93" t="str">
        <f>"Next Year Alone "&amp;TEXT(C51,"($###.00)")</f>
        <v>Next Year Alone ($864.36)</v>
      </c>
    </row>
  </sheetData>
  <sheetProtection selectLockedCells="1"/>
  <mergeCells count="48">
    <mergeCell ref="D47:G47"/>
    <mergeCell ref="D22:G22"/>
    <mergeCell ref="D37:G37"/>
    <mergeCell ref="A15:B15"/>
    <mergeCell ref="F25:G25"/>
    <mergeCell ref="A42:B42"/>
    <mergeCell ref="A46:B46"/>
    <mergeCell ref="A31:B31"/>
    <mergeCell ref="K3:K4"/>
    <mergeCell ref="A1:B1"/>
    <mergeCell ref="E24:E25"/>
    <mergeCell ref="E3:E4"/>
    <mergeCell ref="F3:G3"/>
    <mergeCell ref="D1:K1"/>
    <mergeCell ref="E2:I2"/>
    <mergeCell ref="E9:E10"/>
    <mergeCell ref="F9:G9"/>
    <mergeCell ref="H9:H10"/>
    <mergeCell ref="I9:I10"/>
    <mergeCell ref="J9:J10"/>
    <mergeCell ref="F4:G4"/>
    <mergeCell ref="F24:G24"/>
    <mergeCell ref="F10:G10"/>
    <mergeCell ref="E8:I8"/>
    <mergeCell ref="J6:J7"/>
    <mergeCell ref="J3:J4"/>
    <mergeCell ref="E5:I5"/>
    <mergeCell ref="E6:E7"/>
    <mergeCell ref="F6:G6"/>
    <mergeCell ref="H3:H4"/>
    <mergeCell ref="I3:I4"/>
    <mergeCell ref="I6:I7"/>
    <mergeCell ref="A50:B50"/>
    <mergeCell ref="K6:K7"/>
    <mergeCell ref="F7:G7"/>
    <mergeCell ref="E38:I38"/>
    <mergeCell ref="K39:K40"/>
    <mergeCell ref="H39:H40"/>
    <mergeCell ref="I39:I40"/>
    <mergeCell ref="J39:J40"/>
    <mergeCell ref="F39:G39"/>
    <mergeCell ref="F40:G40"/>
    <mergeCell ref="E39:E40"/>
    <mergeCell ref="J24:J25"/>
    <mergeCell ref="K24:K25"/>
    <mergeCell ref="K9:K10"/>
    <mergeCell ref="H24:H25"/>
    <mergeCell ref="I24:I25"/>
  </mergeCells>
  <conditionalFormatting sqref="D22:K36">
    <cfRule type="expression" dxfId="0" priority="1">
      <formula>NOT($G$23)</formula>
    </cfRule>
  </conditionalFormatting>
  <pageMargins left="0.7" right="0.7" top="0.75" bottom="0.75" header="0.3" footer="0.3"/>
  <pageSetup scale="48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 altText="Festival_Early_Checkin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8</xdr:col>
                    <xdr:colOff>57150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140</v>
      </c>
      <c r="C1" t="s">
        <v>125</v>
      </c>
    </row>
    <row r="2" spans="1:3" x14ac:dyDescent="0.25">
      <c r="A2" t="s">
        <v>134</v>
      </c>
      <c r="C2" t="s">
        <v>141</v>
      </c>
    </row>
    <row r="3" spans="1:3" x14ac:dyDescent="0.25">
      <c r="A3" t="s">
        <v>135</v>
      </c>
      <c r="C3" t="s">
        <v>145</v>
      </c>
    </row>
    <row r="4" spans="1:3" x14ac:dyDescent="0.25">
      <c r="A4" t="s">
        <v>136</v>
      </c>
      <c r="C4" t="s">
        <v>142</v>
      </c>
    </row>
    <row r="5" spans="1:3" x14ac:dyDescent="0.25">
      <c r="A5" t="s">
        <v>158</v>
      </c>
      <c r="C5" t="s">
        <v>143</v>
      </c>
    </row>
    <row r="6" spans="1:3" x14ac:dyDescent="0.25">
      <c r="A6" t="s">
        <v>106</v>
      </c>
      <c r="C6" t="s">
        <v>144</v>
      </c>
    </row>
    <row r="7" spans="1:3" x14ac:dyDescent="0.25">
      <c r="A7" t="s">
        <v>107</v>
      </c>
    </row>
  </sheetData>
  <sortState ref="A1:A5">
    <sortCondition ref="A1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BMW</vt:lpstr>
      <vt:lpstr>Swimming</vt:lpstr>
      <vt:lpstr>Clothing</vt:lpstr>
      <vt:lpstr>Pets</vt:lpstr>
      <vt:lpstr>Christmas</vt:lpstr>
      <vt:lpstr>Semi-Monthly Transfers</vt:lpstr>
      <vt:lpstr>Swim Budget</vt:lpstr>
      <vt:lpstr>Reference</vt:lpstr>
      <vt:lpstr>already_paid</vt:lpstr>
      <vt:lpstr>annual_budget</vt:lpstr>
      <vt:lpstr>bmw_visa_balance</vt:lpstr>
      <vt:lpstr>christmas_visa_balance</vt:lpstr>
      <vt:lpstr>clothing_visa_balance</vt:lpstr>
      <vt:lpstr>family</vt:lpstr>
      <vt:lpstr>hotel_cost</vt:lpstr>
      <vt:lpstr>installments_remain</vt:lpstr>
      <vt:lpstr>pets</vt:lpstr>
      <vt:lpstr>pets_visa_balance</vt:lpstr>
      <vt:lpstr>swimming_visa_balance</vt:lpstr>
      <vt:lpstr>US_training_camp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Risk</dc:creator>
  <cp:lastModifiedBy>Jamie Risk</cp:lastModifiedBy>
  <cp:lastPrinted>2017-07-12T17:35:57Z</cp:lastPrinted>
  <dcterms:created xsi:type="dcterms:W3CDTF">2017-07-12T15:41:59Z</dcterms:created>
  <dcterms:modified xsi:type="dcterms:W3CDTF">2017-11-06T00:01:43Z</dcterms:modified>
</cp:coreProperties>
</file>