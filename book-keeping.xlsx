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8755" windowHeight="5955"/>
  </bookViews>
  <sheets>
    <sheet name="Car" sheetId="1" r:id="rId1"/>
    <sheet name="Swimming" sheetId="2" r:id="rId2"/>
    <sheet name="Sheet3" sheetId="3" r:id="rId3"/>
  </sheets>
  <definedNames>
    <definedName name="_xlnm._FilterDatabase" localSheetId="0" hidden="1">Car!$A$1:$K$105</definedName>
  </definedNames>
  <calcPr calcId="145621"/>
</workbook>
</file>

<file path=xl/calcChain.xml><?xml version="1.0" encoding="utf-8"?>
<calcChain xmlns="http://schemas.openxmlformats.org/spreadsheetml/2006/main">
  <c r="G10" i="1" l="1"/>
  <c r="G11" i="1"/>
  <c r="D10" i="1"/>
  <c r="G70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100" i="1" l="1"/>
  <c r="G100" i="1"/>
  <c r="D101" i="1"/>
  <c r="G101" i="1"/>
  <c r="D102" i="1"/>
  <c r="G102" i="1"/>
  <c r="D103" i="1"/>
  <c r="G103" i="1"/>
  <c r="D104" i="1"/>
  <c r="G104" i="1"/>
  <c r="D105" i="1"/>
  <c r="G105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67" i="1"/>
  <c r="G65" i="1"/>
  <c r="G62" i="1"/>
  <c r="G66" i="1"/>
  <c r="G64" i="1"/>
  <c r="G63" i="1"/>
  <c r="G69" i="1"/>
  <c r="G68" i="1"/>
  <c r="G58" i="1"/>
  <c r="G51" i="1"/>
  <c r="D49" i="1"/>
  <c r="D51" i="1"/>
  <c r="D52" i="1"/>
  <c r="D53" i="1"/>
  <c r="D70" i="1"/>
  <c r="D58" i="1"/>
  <c r="D68" i="1"/>
  <c r="D69" i="1"/>
  <c r="D63" i="1"/>
  <c r="D64" i="1"/>
  <c r="D66" i="1"/>
  <c r="D62" i="1"/>
  <c r="D65" i="1"/>
  <c r="D67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<sst xmlns="http://schemas.openxmlformats.org/spreadsheetml/2006/main" count="110" uniqueCount="45">
  <si>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</si>
  <si>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</si>
  <si>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</si>
  <si>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</si>
  <si>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</si>
  <si>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</si>
  <si>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</si>
  <si>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</si>
  <si>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Reciept?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</si>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</sst>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164" fontId="0" fillId="0" borderId="1" xfId="1" applyFont="1" applyBorder="1"/>
    <xf numFmtId="16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4" fontId="0" fillId="0" borderId="10" xfId="1" applyFont="1" applyBorder="1"/>
    <xf numFmtId="0" fontId="0" fillId="0" borderId="10" xfId="0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0" xfId="0" applyNumberForma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0"/>
  <sheetViews>
    <sheetView tabSelected="1" workbookViewId="0">
      <pane ySplit="855" topLeftCell="A38" activePane="bottomLeft"/>
      <selection activeCell="L1" sqref="A1:XFD2"/>
      <selection pane="bottomLeft" activeCell="A72" sqref="A72:K72"/>
    </sheetView>
  </sheetViews>
  <sheetFormatPr defaultRowHeight="15" x14ac:dyDescent="0.25"/>
  <cols>
    <col min="1" max="1" width="26.5703125" bestFit="1" customWidth="1"/>
    <col min="2" max="2" width="10.5703125" style="3" bestFit="1" customWidth="1"/>
    <col min="3" max="3" width="10.5703125" style="17" bestFit="1" customWidth="1"/>
    <col min="4" max="4" width="7.85546875" style="4" bestFit="1" customWidth="1"/>
    <col min="5" max="5" width="10.5703125" style="3" bestFit="1" customWidth="1"/>
    <col min="6" max="6" width="10.5703125" style="17" bestFit="1" customWidth="1"/>
    <col min="7" max="7" width="9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</cols>
  <sheetData>
    <row r="1" spans="1:11" x14ac:dyDescent="0.25">
      <c r="A1" s="32" t="s">
        <v>0</v>
      </c>
      <c r="B1" s="34" t="s">
        <v>1</v>
      </c>
      <c r="C1" s="35"/>
      <c r="D1" s="36"/>
      <c r="E1" s="34" t="s">
        <v>2</v>
      </c>
      <c r="F1" s="35"/>
      <c r="G1" s="36"/>
      <c r="H1" s="32" t="s">
        <v>8</v>
      </c>
      <c r="I1" s="32" t="s">
        <v>18</v>
      </c>
      <c r="J1" s="32" t="s">
        <v>20</v>
      </c>
      <c r="K1" s="32" t="s">
        <v>3</v>
      </c>
    </row>
    <row r="2" spans="1:11" x14ac:dyDescent="0.25">
      <c r="A2" s="33"/>
      <c r="B2" s="5" t="s">
        <v>4</v>
      </c>
      <c r="C2" s="13" t="s">
        <v>5</v>
      </c>
      <c r="D2" s="6" t="s">
        <v>37</v>
      </c>
      <c r="E2" s="5" t="s">
        <v>4</v>
      </c>
      <c r="F2" s="13" t="s">
        <v>5</v>
      </c>
      <c r="G2" s="6" t="s">
        <v>37</v>
      </c>
      <c r="H2" s="33"/>
      <c r="I2" s="33"/>
      <c r="J2" s="33"/>
      <c r="K2" s="33"/>
    </row>
    <row r="3" spans="1:11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0"/>
      <c r="J3" s="8" t="s">
        <v>10</v>
      </c>
      <c r="K3" s="22" t="s">
        <v>6</v>
      </c>
    </row>
    <row r="4" spans="1:11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0"/>
      <c r="J4" s="8" t="s">
        <v>15</v>
      </c>
      <c r="K4" s="22" t="s">
        <v>7</v>
      </c>
    </row>
    <row r="5" spans="1:11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0"/>
      <c r="J5" s="8" t="s">
        <v>11</v>
      </c>
      <c r="K5" s="22" t="s">
        <v>21</v>
      </c>
    </row>
    <row r="6" spans="1:11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1"/>
      <c r="J6" s="10" t="s">
        <v>19</v>
      </c>
      <c r="K6" s="23" t="s">
        <v>7</v>
      </c>
    </row>
    <row r="7" spans="1:11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1"/>
      <c r="J7" s="10" t="s">
        <v>19</v>
      </c>
      <c r="K7" s="23" t="s">
        <v>21</v>
      </c>
    </row>
    <row r="8" spans="1:11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1"/>
      <c r="J8" s="10" t="s">
        <v>27</v>
      </c>
      <c r="K8" s="23" t="s">
        <v>28</v>
      </c>
    </row>
    <row r="9" spans="1:11" x14ac:dyDescent="0.25">
      <c r="A9" s="11">
        <v>42870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0"/>
      <c r="J9" s="8" t="s">
        <v>29</v>
      </c>
      <c r="K9" s="22"/>
    </row>
    <row r="10" spans="1:11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3</v>
      </c>
      <c r="G10" s="18">
        <f>IF(NOT(ISBLANK($A10)),SUM(E$3:E10)-SUM(F$3:F10),"")</f>
        <v>-88.180000000000064</v>
      </c>
      <c r="H10" s="8"/>
      <c r="I10" s="20"/>
      <c r="J10" s="8"/>
      <c r="K10" s="22"/>
    </row>
    <row r="11" spans="1:11" x14ac:dyDescent="0.25">
      <c r="A11" s="11">
        <v>42882</v>
      </c>
      <c r="B11" s="7"/>
      <c r="C11" s="14"/>
      <c r="D11" s="18">
        <f>IF(NOT(ISBLANK($A11)),SUM(B$3:B11)-SUM(C$3:C11),"")</f>
        <v>355.60000000000014</v>
      </c>
      <c r="E11" s="7"/>
      <c r="F11" s="14">
        <v>4.5</v>
      </c>
      <c r="G11" s="18">
        <f>IF(NOT(ISBLANK($A11)),SUM(E$3:E11)-SUM(F$3:F11),"")</f>
        <v>-92.680000000000064</v>
      </c>
      <c r="H11" s="8"/>
      <c r="I11" s="20"/>
      <c r="J11" s="8" t="s">
        <v>29</v>
      </c>
      <c r="K11" s="22"/>
    </row>
    <row r="12" spans="1:11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51.25</v>
      </c>
      <c r="G12" s="19">
        <f>IF(NOT(ISBLANK($A12)),SUM(E$3:E12)-SUM(F$3:F12),"")</f>
        <v>-143.93000000000006</v>
      </c>
      <c r="H12" s="10"/>
      <c r="I12" s="21"/>
      <c r="J12" s="10" t="s">
        <v>27</v>
      </c>
      <c r="K12" s="23" t="s">
        <v>28</v>
      </c>
    </row>
    <row r="13" spans="1:11" x14ac:dyDescent="0.25">
      <c r="A13" s="12">
        <v>42884</v>
      </c>
      <c r="B13" s="9"/>
      <c r="C13" s="15"/>
      <c r="D13" s="19">
        <f>IF(NOT(ISBLANK($A13)),SUM(B$3:B13)-SUM(C$3:C13),"")</f>
        <v>355.60000000000014</v>
      </c>
      <c r="E13" s="9"/>
      <c r="F13" s="15">
        <v>50</v>
      </c>
      <c r="G13" s="19">
        <f>IF(NOT(ISBLANK($A13)),SUM(E$3:E13)-SUM(F$3:F13),"")</f>
        <v>-193.93000000000006</v>
      </c>
      <c r="H13" s="10"/>
      <c r="I13" s="21"/>
      <c r="J13" s="10" t="s">
        <v>11</v>
      </c>
      <c r="K13" s="23" t="s">
        <v>28</v>
      </c>
    </row>
    <row r="14" spans="1:11" x14ac:dyDescent="0.25">
      <c r="A14" s="12">
        <v>42886</v>
      </c>
      <c r="B14" s="9"/>
      <c r="C14" s="15"/>
      <c r="D14" s="19">
        <f>IF(NOT(ISBLANK($A14)),SUM(B$3:B14)-SUM(C$3:C14),"")</f>
        <v>355.60000000000014</v>
      </c>
      <c r="E14" s="9"/>
      <c r="F14" s="15">
        <v>21.46</v>
      </c>
      <c r="G14" s="19">
        <f>IF(NOT(ISBLANK($A14)),SUM(E$3:E14)-SUM(F$3:F14),"")</f>
        <v>-215.3900000000001</v>
      </c>
      <c r="H14" s="10" t="b">
        <v>1</v>
      </c>
      <c r="I14" s="21"/>
      <c r="J14" s="10" t="s">
        <v>22</v>
      </c>
      <c r="K14" s="23" t="s">
        <v>9</v>
      </c>
    </row>
    <row r="15" spans="1:11" x14ac:dyDescent="0.25">
      <c r="A15" s="11">
        <v>42886</v>
      </c>
      <c r="B15" s="7"/>
      <c r="C15" s="14">
        <v>21.46</v>
      </c>
      <c r="D15" s="18">
        <f>IF(NOT(ISBLANK($A15)),SUM(B$3:B15)-SUM(C$3:C15),"")</f>
        <v>334.1400000000001</v>
      </c>
      <c r="E15" s="7">
        <v>21.46</v>
      </c>
      <c r="F15" s="14"/>
      <c r="G15" s="18">
        <f>IF(NOT(ISBLANK($A15)),SUM(E$3:E15)-SUM(F$3:F15),"")</f>
        <v>-193.93000000000006</v>
      </c>
      <c r="H15" s="8"/>
      <c r="I15" s="20"/>
      <c r="J15" s="8" t="s">
        <v>19</v>
      </c>
      <c r="K15" s="22" t="s">
        <v>9</v>
      </c>
    </row>
    <row r="16" spans="1:11" x14ac:dyDescent="0.25">
      <c r="A16" s="11">
        <v>42887</v>
      </c>
      <c r="B16" s="7">
        <v>400</v>
      </c>
      <c r="C16" s="14"/>
      <c r="D16" s="18">
        <f>IF(NOT(ISBLANK($A16)),SUM(B$3:B16)-SUM(C$3:C16),"")</f>
        <v>734.1400000000001</v>
      </c>
      <c r="E16" s="7"/>
      <c r="F16" s="14"/>
      <c r="G16" s="18">
        <f>IF(NOT(ISBLANK($A16)),SUM(E$3:E16)-SUM(F$3:F16),"")</f>
        <v>-193.93000000000006</v>
      </c>
      <c r="H16" s="8"/>
      <c r="I16" s="20"/>
      <c r="J16" s="8" t="s">
        <v>10</v>
      </c>
      <c r="K16" s="22"/>
    </row>
    <row r="17" spans="1:11" x14ac:dyDescent="0.25">
      <c r="A17" s="11">
        <v>42887</v>
      </c>
      <c r="B17" s="7">
        <v>0.48</v>
      </c>
      <c r="C17" s="14"/>
      <c r="D17" s="18">
        <f>IF(NOT(ISBLANK($A17)),SUM(B$3:B17)-SUM(C$3:C17),"")</f>
        <v>734.62000000000012</v>
      </c>
      <c r="E17" s="7"/>
      <c r="F17" s="14"/>
      <c r="G17" s="18">
        <f>IF(NOT(ISBLANK($A17)),SUM(E$3:E17)-SUM(F$3:F17),"")</f>
        <v>-193.93000000000006</v>
      </c>
      <c r="H17" s="8"/>
      <c r="I17" s="20"/>
      <c r="J17" s="8" t="s">
        <v>10</v>
      </c>
      <c r="K17" s="22" t="s">
        <v>38</v>
      </c>
    </row>
    <row r="18" spans="1:11" x14ac:dyDescent="0.25">
      <c r="A18" s="12">
        <v>42892</v>
      </c>
      <c r="B18" s="9"/>
      <c r="C18" s="15"/>
      <c r="D18" s="19">
        <f>IF(NOT(ISBLANK($A18)),SUM(B$3:B18)-SUM(C$3:C18),"")</f>
        <v>734.62000000000012</v>
      </c>
      <c r="E18" s="9"/>
      <c r="F18" s="15">
        <v>74.010000000000005</v>
      </c>
      <c r="G18" s="19">
        <f>IF(NOT(ISBLANK($A18)),SUM(E$3:E18)-SUM(F$3:F18),"")</f>
        <v>-267.94000000000005</v>
      </c>
      <c r="H18" s="10" t="b">
        <v>1</v>
      </c>
      <c r="I18" s="21">
        <v>57989</v>
      </c>
      <c r="J18" s="10" t="s">
        <v>11</v>
      </c>
      <c r="K18" s="23"/>
    </row>
    <row r="19" spans="1:11" x14ac:dyDescent="0.25">
      <c r="A19" s="12">
        <v>42892</v>
      </c>
      <c r="B19" s="9"/>
      <c r="C19" s="15">
        <v>74.010000000000005</v>
      </c>
      <c r="D19" s="19">
        <f>IF(NOT(ISBLANK($A19)),SUM(B$3:B19)-SUM(C$3:C19),"")</f>
        <v>660.61000000000013</v>
      </c>
      <c r="E19" s="9">
        <v>74.010000000000005</v>
      </c>
      <c r="F19" s="15"/>
      <c r="G19" s="19">
        <f>IF(NOT(ISBLANK($A19)),SUM(E$3:E19)-SUM(F$3:F19),"")</f>
        <v>-193.93000000000006</v>
      </c>
      <c r="H19" s="10"/>
      <c r="I19" s="21"/>
      <c r="J19" s="10"/>
      <c r="K19" s="23"/>
    </row>
    <row r="20" spans="1:11" x14ac:dyDescent="0.25">
      <c r="A20" s="12">
        <v>42895</v>
      </c>
      <c r="B20" s="9"/>
      <c r="C20" s="15"/>
      <c r="D20" s="19">
        <f>IF(NOT(ISBLANK($A20)),SUM(B$3:B20)-SUM(C$3:C20),"")</f>
        <v>660.61000000000013</v>
      </c>
      <c r="E20" s="9"/>
      <c r="F20" s="15">
        <v>68</v>
      </c>
      <c r="G20" s="19">
        <f>IF(NOT(ISBLANK($A20)),SUM(E$3:E20)-SUM(F$3:F20),"")</f>
        <v>-261.93000000000006</v>
      </c>
      <c r="H20" s="10" t="b">
        <v>1</v>
      </c>
      <c r="I20" s="21"/>
      <c r="J20" s="10" t="s">
        <v>23</v>
      </c>
      <c r="K20" s="23" t="s">
        <v>12</v>
      </c>
    </row>
    <row r="21" spans="1:11" x14ac:dyDescent="0.25">
      <c r="A21" s="11">
        <v>42898</v>
      </c>
      <c r="B21" s="7"/>
      <c r="C21" s="14">
        <v>68</v>
      </c>
      <c r="D21" s="18">
        <f>IF(NOT(ISBLANK($A21)),SUM(B$3:B21)-SUM(C$3:C21),"")</f>
        <v>592.61000000000013</v>
      </c>
      <c r="E21" s="7">
        <v>68</v>
      </c>
      <c r="F21" s="14"/>
      <c r="G21" s="18">
        <f>IF(NOT(ISBLANK($A21)),SUM(E$3:E21)-SUM(F$3:F21),"")</f>
        <v>-193.93000000000006</v>
      </c>
      <c r="H21" s="8"/>
      <c r="I21" s="20"/>
      <c r="J21" s="8" t="s">
        <v>19</v>
      </c>
      <c r="K21" s="22" t="s">
        <v>12</v>
      </c>
    </row>
    <row r="22" spans="1:11" x14ac:dyDescent="0.25">
      <c r="A22" s="11">
        <v>42900</v>
      </c>
      <c r="B22" s="7"/>
      <c r="C22" s="14">
        <v>2</v>
      </c>
      <c r="D22" s="18">
        <f>IF(NOT(ISBLANK($A22)),SUM(B$3:B22)-SUM(C$3:C22),"")</f>
        <v>590.61000000000013</v>
      </c>
      <c r="E22" s="7"/>
      <c r="F22" s="14"/>
      <c r="G22" s="18">
        <f>IF(NOT(ISBLANK($A22)),SUM(E$3:E22)-SUM(F$3:F22),"")</f>
        <v>-193.93000000000006</v>
      </c>
      <c r="H22" s="8"/>
      <c r="I22" s="20"/>
      <c r="J22" s="8" t="s">
        <v>24</v>
      </c>
      <c r="K22" s="22" t="s">
        <v>13</v>
      </c>
    </row>
    <row r="23" spans="1:11" x14ac:dyDescent="0.25">
      <c r="A23" s="11">
        <v>42900</v>
      </c>
      <c r="B23" s="7"/>
      <c r="C23" s="14">
        <v>79.64</v>
      </c>
      <c r="D23" s="18">
        <f>IF(NOT(ISBLANK($A23)),SUM(B$3:B23)-SUM(C$3:C23),"")</f>
        <v>510.97</v>
      </c>
      <c r="E23" s="7"/>
      <c r="F23" s="14"/>
      <c r="G23" s="18">
        <f>IF(NOT(ISBLANK($A23)),SUM(E$3:E23)-SUM(F$3:F23),"")</f>
        <v>-193.93000000000006</v>
      </c>
      <c r="H23" s="8" t="b">
        <v>1</v>
      </c>
      <c r="I23" s="20">
        <v>58503</v>
      </c>
      <c r="J23" s="8" t="s">
        <v>11</v>
      </c>
      <c r="K23" s="22" t="s">
        <v>36</v>
      </c>
    </row>
    <row r="24" spans="1:11" x14ac:dyDescent="0.25">
      <c r="A24" s="12">
        <v>42900</v>
      </c>
      <c r="B24" s="9"/>
      <c r="C24" s="15">
        <v>82.97</v>
      </c>
      <c r="D24" s="19">
        <f>IF(NOT(ISBLANK($A24)),SUM(B$3:B24)-SUM(C$3:C24),"")</f>
        <v>428</v>
      </c>
      <c r="E24" s="9"/>
      <c r="F24" s="15"/>
      <c r="G24" s="19">
        <f>IF(NOT(ISBLANK($A24)),SUM(E$3:E24)-SUM(F$3:F24),"")</f>
        <v>-193.93000000000006</v>
      </c>
      <c r="H24" s="10"/>
      <c r="I24" s="21"/>
      <c r="J24" s="10" t="s">
        <v>14</v>
      </c>
      <c r="K24" s="23"/>
    </row>
    <row r="25" spans="1:11" x14ac:dyDescent="0.25">
      <c r="A25" s="12">
        <v>42901</v>
      </c>
      <c r="B25" s="9"/>
      <c r="C25" s="15">
        <v>222.42</v>
      </c>
      <c r="D25" s="19">
        <f>IF(NOT(ISBLANK($A25)),SUM(B$3:B25)-SUM(C$3:C25),"")</f>
        <v>205.57999999999993</v>
      </c>
      <c r="E25" s="9"/>
      <c r="F25" s="15"/>
      <c r="G25" s="19">
        <f>IF(NOT(ISBLANK($A25)),SUM(E$3:E25)-SUM(F$3:F25),"")</f>
        <v>-193.93000000000006</v>
      </c>
      <c r="H25" s="10"/>
      <c r="I25" s="21"/>
      <c r="J25" s="10" t="s">
        <v>15</v>
      </c>
      <c r="K25" s="23"/>
    </row>
    <row r="26" spans="1:11" x14ac:dyDescent="0.25">
      <c r="A26" s="12">
        <v>42901</v>
      </c>
      <c r="B26" s="9"/>
      <c r="C26" s="15">
        <v>5</v>
      </c>
      <c r="D26" s="19">
        <f>IF(NOT(ISBLANK($A26)),SUM(B$3:B26)-SUM(C$3:C26),"")</f>
        <v>200.57999999999993</v>
      </c>
      <c r="E26" s="9"/>
      <c r="F26" s="15"/>
      <c r="G26" s="19">
        <f>IF(NOT(ISBLANK($A26)),SUM(E$3:E26)-SUM(F$3:F26),"")</f>
        <v>-193.93000000000006</v>
      </c>
      <c r="H26" s="10"/>
      <c r="I26" s="21"/>
      <c r="J26" s="10" t="s">
        <v>16</v>
      </c>
      <c r="K26" s="23"/>
    </row>
    <row r="27" spans="1:11" x14ac:dyDescent="0.25">
      <c r="A27" s="11">
        <v>42902</v>
      </c>
      <c r="B27" s="7">
        <v>400</v>
      </c>
      <c r="C27" s="14"/>
      <c r="D27" s="18">
        <f>IF(NOT(ISBLANK($A27)),SUM(B$3:B27)-SUM(C$3:C27),"")</f>
        <v>600.5799999999997</v>
      </c>
      <c r="E27" s="7"/>
      <c r="F27" s="14"/>
      <c r="G27" s="18">
        <f>IF(NOT(ISBLANK($A27)),SUM(E$3:E27)-SUM(F$3:F27),"")</f>
        <v>-193.93000000000006</v>
      </c>
      <c r="H27" s="8"/>
      <c r="I27" s="20"/>
      <c r="J27" s="8" t="s">
        <v>10</v>
      </c>
      <c r="K27" s="22"/>
    </row>
    <row r="28" spans="1:11" x14ac:dyDescent="0.25">
      <c r="A28" s="11">
        <v>42906</v>
      </c>
      <c r="B28" s="7"/>
      <c r="C28" s="14"/>
      <c r="D28" s="18">
        <f>IF(NOT(ISBLANK($A28)),SUM(B$3:B28)-SUM(C$3:C28),"")</f>
        <v>600.5799999999997</v>
      </c>
      <c r="E28" s="7"/>
      <c r="F28" s="14">
        <v>103.45</v>
      </c>
      <c r="G28" s="18">
        <f>IF(NOT(ISBLANK($A28)),SUM(E$3:E28)-SUM(F$3:F28),"")</f>
        <v>-297.38000000000011</v>
      </c>
      <c r="H28" s="8" t="b">
        <v>1</v>
      </c>
      <c r="I28" s="20"/>
      <c r="J28" s="8" t="s">
        <v>43</v>
      </c>
      <c r="K28" s="22" t="s">
        <v>17</v>
      </c>
    </row>
    <row r="29" spans="1:11" x14ac:dyDescent="0.25">
      <c r="A29" s="11">
        <v>42906</v>
      </c>
      <c r="B29" s="7"/>
      <c r="C29" s="14">
        <v>103.45</v>
      </c>
      <c r="D29" s="18">
        <f>IF(NOT(ISBLANK($A29)),SUM(B$3:B29)-SUM(C$3:C29),"")</f>
        <v>497.12999999999965</v>
      </c>
      <c r="E29" s="7">
        <v>103.45</v>
      </c>
      <c r="F29" s="14"/>
      <c r="G29" s="18">
        <f>IF(NOT(ISBLANK($A29)),SUM(E$3:E29)-SUM(F$3:F29),"")</f>
        <v>-193.93000000000006</v>
      </c>
      <c r="H29" s="8"/>
      <c r="I29" s="20"/>
      <c r="J29" s="8" t="s">
        <v>19</v>
      </c>
      <c r="K29" s="22"/>
    </row>
    <row r="30" spans="1:11" x14ac:dyDescent="0.25">
      <c r="A30" s="12">
        <v>42908</v>
      </c>
      <c r="B30" s="9"/>
      <c r="C30" s="15"/>
      <c r="D30" s="19">
        <f>IF(NOT(ISBLANK($A30)),SUM(B$3:B30)-SUM(C$3:C30),"")</f>
        <v>497.12999999999965</v>
      </c>
      <c r="E30" s="9"/>
      <c r="F30" s="15">
        <v>51.51</v>
      </c>
      <c r="G30" s="19">
        <f>IF(NOT(ISBLANK($A30)),SUM(E$3:E30)-SUM(F$3:F30),"")</f>
        <v>-245.44000000000005</v>
      </c>
      <c r="H30" s="10" t="b">
        <v>1</v>
      </c>
      <c r="I30" s="21">
        <v>58926</v>
      </c>
      <c r="J30" s="10" t="s">
        <v>11</v>
      </c>
      <c r="K30" s="23"/>
    </row>
    <row r="31" spans="1:11" x14ac:dyDescent="0.25">
      <c r="A31" s="12">
        <v>42909</v>
      </c>
      <c r="B31" s="9"/>
      <c r="C31" s="15">
        <v>51.51</v>
      </c>
      <c r="D31" s="19">
        <f>IF(NOT(ISBLANK($A31)),SUM(B$3:B31)-SUM(C$3:C31),"")</f>
        <v>445.61999999999966</v>
      </c>
      <c r="E31" s="9">
        <v>51.51</v>
      </c>
      <c r="F31" s="15"/>
      <c r="G31" s="19">
        <f>IF(NOT(ISBLANK($A31)),SUM(E$3:E31)-SUM(F$3:F31),"")</f>
        <v>-193.93000000000006</v>
      </c>
      <c r="H31" s="10"/>
      <c r="I31" s="21"/>
      <c r="J31" s="10" t="s">
        <v>19</v>
      </c>
      <c r="K31" s="23" t="s">
        <v>11</v>
      </c>
    </row>
    <row r="32" spans="1:11" x14ac:dyDescent="0.25">
      <c r="A32" s="12">
        <v>42909</v>
      </c>
      <c r="B32" s="9"/>
      <c r="C32" s="15"/>
      <c r="D32" s="19">
        <f>IF(NOT(ISBLANK($A32)),SUM(B$3:B32)-SUM(C$3:C32),"")</f>
        <v>445.61999999999966</v>
      </c>
      <c r="E32" s="9"/>
      <c r="F32" s="15">
        <v>311.88</v>
      </c>
      <c r="G32" s="19">
        <f>IF(NOT(ISBLANK($A32)),SUM(E$3:E32)-SUM(F$3:F32),"")</f>
        <v>-505.81000000000017</v>
      </c>
      <c r="H32" s="10" t="b">
        <v>1</v>
      </c>
      <c r="I32" s="21">
        <v>58988</v>
      </c>
      <c r="J32" s="10" t="s">
        <v>30</v>
      </c>
      <c r="K32" s="23" t="s">
        <v>31</v>
      </c>
    </row>
    <row r="33" spans="1:11" x14ac:dyDescent="0.25">
      <c r="A33" s="11">
        <v>42915</v>
      </c>
      <c r="B33" s="7"/>
      <c r="C33" s="14">
        <v>222.42</v>
      </c>
      <c r="D33" s="18">
        <f>IF(NOT(ISBLANK($A33)),SUM(B$3:B33)-SUM(C$3:C33),"")</f>
        <v>223.19999999999959</v>
      </c>
      <c r="E33" s="7"/>
      <c r="F33" s="14"/>
      <c r="G33" s="18">
        <f>IF(NOT(ISBLANK($A33)),SUM(E$3:E33)-SUM(F$3:F33),"")</f>
        <v>-505.81000000000017</v>
      </c>
      <c r="H33" s="8"/>
      <c r="I33" s="20"/>
      <c r="J33" s="8" t="s">
        <v>15</v>
      </c>
      <c r="K33" s="22"/>
    </row>
    <row r="34" spans="1:11" x14ac:dyDescent="0.25">
      <c r="A34" s="11">
        <v>42915</v>
      </c>
      <c r="B34" s="7"/>
      <c r="C34" s="14">
        <v>5</v>
      </c>
      <c r="D34" s="18">
        <f>IF(NOT(ISBLANK($A34)),SUM(B$3:B34)-SUM(C$3:C34),"")</f>
        <v>218.19999999999959</v>
      </c>
      <c r="E34" s="7"/>
      <c r="F34" s="14"/>
      <c r="G34" s="18">
        <f>IF(NOT(ISBLANK($A34)),SUM(E$3:E34)-SUM(F$3:F34),"")</f>
        <v>-505.81000000000017</v>
      </c>
      <c r="H34" s="8"/>
      <c r="I34" s="20"/>
      <c r="J34" s="8" t="s">
        <v>16</v>
      </c>
      <c r="K34" s="22"/>
    </row>
    <row r="35" spans="1:11" x14ac:dyDescent="0.25">
      <c r="A35" s="11">
        <v>42920</v>
      </c>
      <c r="B35" s="7">
        <v>400</v>
      </c>
      <c r="C35" s="14"/>
      <c r="D35" s="18">
        <f>IF(NOT(ISBLANK($A35)),SUM(B$3:B35)-SUM(C$3:C35),"")</f>
        <v>618.19999999999959</v>
      </c>
      <c r="E35" s="7"/>
      <c r="F35" s="14"/>
      <c r="G35" s="18">
        <f>IF(NOT(ISBLANK($A35)),SUM(E$3:E35)-SUM(F$3:F35),"")</f>
        <v>-505.81000000000017</v>
      </c>
      <c r="H35" s="8"/>
      <c r="I35" s="20"/>
      <c r="J35" s="8" t="s">
        <v>10</v>
      </c>
      <c r="K35" s="22"/>
    </row>
    <row r="36" spans="1:11" x14ac:dyDescent="0.25">
      <c r="A36" s="12">
        <v>42920</v>
      </c>
      <c r="B36" s="9">
        <v>0.22</v>
      </c>
      <c r="C36" s="15"/>
      <c r="D36" s="19">
        <f>IF(NOT(ISBLANK($A36)),SUM(B$3:B36)-SUM(C$3:C36),"")</f>
        <v>618.41999999999939</v>
      </c>
      <c r="E36" s="9"/>
      <c r="F36" s="15"/>
      <c r="G36" s="19">
        <f>IF(NOT(ISBLANK($A36)),SUM(E$3:E36)-SUM(F$3:F36),"")</f>
        <v>-505.81000000000017</v>
      </c>
      <c r="H36" s="10"/>
      <c r="I36" s="21"/>
      <c r="J36" s="10" t="s">
        <v>10</v>
      </c>
      <c r="K36" s="23" t="s">
        <v>38</v>
      </c>
    </row>
    <row r="37" spans="1:11" x14ac:dyDescent="0.25">
      <c r="A37" s="12">
        <v>42920</v>
      </c>
      <c r="B37" s="9"/>
      <c r="C37" s="15">
        <v>577.52</v>
      </c>
      <c r="D37" s="19">
        <f>IF(NOT(ISBLANK($A37)),SUM(B$3:B37)-SUM(C$3:C37),"")</f>
        <v>40.899999999999181</v>
      </c>
      <c r="E37" s="9">
        <v>577.52</v>
      </c>
      <c r="F37" s="15"/>
      <c r="G37" s="19">
        <f>IF(NOT(ISBLANK($A37)),SUM(E$3:E37)-SUM(F$3:F37),"")</f>
        <v>71.709999999999809</v>
      </c>
      <c r="H37" s="10"/>
      <c r="I37" s="21"/>
      <c r="J37" s="10" t="s">
        <v>19</v>
      </c>
      <c r="K37" s="23"/>
    </row>
    <row r="38" spans="1:11" x14ac:dyDescent="0.25">
      <c r="A38" s="12">
        <v>42922</v>
      </c>
      <c r="B38" s="9">
        <v>10</v>
      </c>
      <c r="C38" s="15"/>
      <c r="D38" s="19">
        <f>IF(NOT(ISBLANK($A38)),SUM(B$3:B38)-SUM(C$3:C38),"")</f>
        <v>50.899999999999181</v>
      </c>
      <c r="E38" s="9"/>
      <c r="F38" s="15"/>
      <c r="G38" s="19">
        <f>IF(NOT(ISBLANK($A38)),SUM(E$3:E38)-SUM(F$3:F38),"")</f>
        <v>71.709999999999809</v>
      </c>
      <c r="H38" s="10"/>
      <c r="I38" s="21"/>
      <c r="J38" s="10" t="s">
        <v>16</v>
      </c>
      <c r="K38" s="23" t="s">
        <v>25</v>
      </c>
    </row>
    <row r="39" spans="1:11" x14ac:dyDescent="0.25">
      <c r="A39" s="11">
        <v>42927</v>
      </c>
      <c r="B39" s="7">
        <v>200</v>
      </c>
      <c r="C39" s="14"/>
      <c r="D39" s="18">
        <f>IF(NOT(ISBLANK($A39)),SUM(B$3:B39)-SUM(C$3:C39),"")</f>
        <v>250.89999999999918</v>
      </c>
      <c r="E39" s="7"/>
      <c r="F39" s="14"/>
      <c r="G39" s="18">
        <f>IF(NOT(ISBLANK($A39)),SUM(E$3:E39)-SUM(F$3:F39),"")</f>
        <v>71.709999999999809</v>
      </c>
      <c r="H39" s="8"/>
      <c r="I39" s="20"/>
      <c r="J39" s="8" t="s">
        <v>10</v>
      </c>
      <c r="K39" s="22" t="s">
        <v>26</v>
      </c>
    </row>
    <row r="40" spans="1:11" x14ac:dyDescent="0.25">
      <c r="A40" s="11">
        <v>42910</v>
      </c>
      <c r="B40" s="7"/>
      <c r="C40" s="14"/>
      <c r="D40" s="18">
        <f>IF(NOT(ISBLANK($A40)),SUM(B$3:B40)-SUM(C$3:C40),"")</f>
        <v>250.89999999999918</v>
      </c>
      <c r="E40" s="7"/>
      <c r="F40" s="14">
        <v>56.01</v>
      </c>
      <c r="G40" s="18">
        <f>IF(NOT(ISBLANK($A40)),SUM(E$3:E40)-SUM(F$3:F40),"")</f>
        <v>15.699999999999818</v>
      </c>
      <c r="H40" s="8" t="b">
        <v>1</v>
      </c>
      <c r="I40" s="20">
        <v>59541</v>
      </c>
      <c r="J40" s="8" t="s">
        <v>11</v>
      </c>
      <c r="K40" s="22"/>
    </row>
    <row r="41" spans="1:11" x14ac:dyDescent="0.25">
      <c r="A41" s="11">
        <v>42911</v>
      </c>
      <c r="B41" s="7"/>
      <c r="C41" s="14"/>
      <c r="D41" s="18">
        <f>IF(NOT(ISBLANK($A41)),SUM(B$3:B41)-SUM(C$3:C41),"")</f>
        <v>250.89999999999918</v>
      </c>
      <c r="E41" s="7"/>
      <c r="F41" s="14">
        <v>1.5</v>
      </c>
      <c r="G41" s="18">
        <f>IF(NOT(ISBLANK($A41)),SUM(E$3:E41)-SUM(F$3:F41),"")</f>
        <v>14.199999999999818</v>
      </c>
      <c r="H41" s="8"/>
      <c r="I41" s="20"/>
      <c r="J41" s="8" t="s">
        <v>29</v>
      </c>
      <c r="K41" s="22"/>
    </row>
    <row r="42" spans="1:11" x14ac:dyDescent="0.25">
      <c r="A42" s="12">
        <v>42914</v>
      </c>
      <c r="B42" s="9"/>
      <c r="C42" s="15"/>
      <c r="D42" s="19">
        <f>IF(NOT(ISBLANK($A42)),SUM(B$3:B42)-SUM(C$3:C42),"")</f>
        <v>250.89999999999918</v>
      </c>
      <c r="E42" s="9"/>
      <c r="F42" s="15">
        <v>63.74</v>
      </c>
      <c r="G42" s="19">
        <f>IF(NOT(ISBLANK($A42)),SUM(E$3:E42)-SUM(F$3:F42),"")</f>
        <v>-49.540000000000191</v>
      </c>
      <c r="H42" s="10" t="b">
        <v>1</v>
      </c>
      <c r="I42" s="21">
        <v>60207</v>
      </c>
      <c r="J42" s="10" t="s">
        <v>11</v>
      </c>
      <c r="K42" s="23" t="s">
        <v>32</v>
      </c>
    </row>
    <row r="43" spans="1:11" x14ac:dyDescent="0.25">
      <c r="A43" s="12">
        <v>42915</v>
      </c>
      <c r="B43" s="9"/>
      <c r="C43" s="15"/>
      <c r="D43" s="19">
        <f>IF(NOT(ISBLANK($A43)),SUM(B$3:B43)-SUM(C$3:C43),"")</f>
        <v>250.89999999999918</v>
      </c>
      <c r="E43" s="9"/>
      <c r="F43" s="15">
        <v>33</v>
      </c>
      <c r="G43" s="19">
        <f>IF(NOT(ISBLANK($A43)),SUM(E$3:E43)-SUM(F$3:F43),"")</f>
        <v>-82.540000000000191</v>
      </c>
      <c r="H43" s="10" t="b">
        <v>1</v>
      </c>
      <c r="I43" s="21">
        <v>60464</v>
      </c>
      <c r="J43" s="10" t="s">
        <v>11</v>
      </c>
      <c r="K43" s="23"/>
    </row>
    <row r="44" spans="1:11" x14ac:dyDescent="0.25">
      <c r="A44" s="12">
        <v>42916</v>
      </c>
      <c r="B44" s="9"/>
      <c r="C44" s="15"/>
      <c r="D44" s="19">
        <f>IF(NOT(ISBLANK($A44)),SUM(B$3:B44)-SUM(C$3:C44),"")</f>
        <v>250.89999999999918</v>
      </c>
      <c r="E44" s="9"/>
      <c r="F44" s="15">
        <v>20.329999999999998</v>
      </c>
      <c r="G44" s="19">
        <f>IF(NOT(ISBLANK($A44)),SUM(E$3:E44)-SUM(F$3:F44),"")</f>
        <v>-102.87000000000012</v>
      </c>
      <c r="H44" s="10"/>
      <c r="I44" s="21"/>
      <c r="J44" s="10" t="s">
        <v>27</v>
      </c>
      <c r="K44" s="23" t="s">
        <v>33</v>
      </c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0"/>
      <c r="J45" s="8" t="s">
        <v>29</v>
      </c>
      <c r="K45" s="22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0"/>
      <c r="J46" s="8" t="s">
        <v>29</v>
      </c>
      <c r="K46" s="22"/>
    </row>
    <row r="47" spans="1:11" x14ac:dyDescent="0.25">
      <c r="A47" s="11">
        <v>42918</v>
      </c>
      <c r="B47" s="7"/>
      <c r="C47" s="14"/>
      <c r="D47" s="18">
        <f>IF(NOT(ISBLANK($A47)),SUM(B$3:B47)-SUM(C$3:C47),"")</f>
        <v>250.89999999999918</v>
      </c>
      <c r="E47" s="7"/>
      <c r="F47" s="14">
        <v>3</v>
      </c>
      <c r="G47" s="18">
        <f>IF(NOT(ISBLANK($A47)),SUM(E$3:E47)-SUM(F$3:F47),"")</f>
        <v>-111.87000000000012</v>
      </c>
      <c r="H47" s="8" t="b">
        <v>1</v>
      </c>
      <c r="I47" s="20"/>
      <c r="J47" s="8" t="s">
        <v>29</v>
      </c>
      <c r="K47" s="22"/>
    </row>
    <row r="48" spans="1:11" x14ac:dyDescent="0.25">
      <c r="A48" s="12">
        <v>42920</v>
      </c>
      <c r="B48" s="9"/>
      <c r="C48" s="15"/>
      <c r="D48" s="19">
        <f>IF(NOT(ISBLANK($A48)),SUM(B$3:B48)-SUM(C$3:C48),"")</f>
        <v>250.89999999999918</v>
      </c>
      <c r="E48" s="9"/>
      <c r="F48" s="15">
        <v>112.89</v>
      </c>
      <c r="G48" s="19">
        <f>IF(NOT(ISBLANK($A48)),SUM(E$3:E48)-SUM(F$3:F48),"")</f>
        <v>-224.76</v>
      </c>
      <c r="H48" s="10" t="b">
        <v>1</v>
      </c>
      <c r="I48" s="21"/>
      <c r="J48" s="10" t="s">
        <v>30</v>
      </c>
      <c r="K48" s="23" t="s">
        <v>34</v>
      </c>
    </row>
    <row r="49" spans="1:11" x14ac:dyDescent="0.25">
      <c r="A49" s="12">
        <v>42921</v>
      </c>
      <c r="B49" s="9"/>
      <c r="C49" s="15"/>
      <c r="D49" s="19">
        <f>IF(NOT(ISBLANK($A49)),SUM(B$3:B49)-SUM(C$3:C49),"")</f>
        <v>250.89999999999918</v>
      </c>
      <c r="E49" s="9"/>
      <c r="F49" s="15">
        <v>63.26</v>
      </c>
      <c r="G49" s="19">
        <f>IF(NOT(ISBLANK($A49)),SUM(E$3:E49)-SUM(F$3:F49),"")</f>
        <v>-288.02000000000021</v>
      </c>
      <c r="H49" s="10" t="b">
        <v>1</v>
      </c>
      <c r="I49" s="21">
        <v>61058</v>
      </c>
      <c r="J49" s="10" t="s">
        <v>11</v>
      </c>
      <c r="K49" s="23"/>
    </row>
    <row r="50" spans="1:11" x14ac:dyDescent="0.25">
      <c r="A50" s="12">
        <v>42927</v>
      </c>
      <c r="B50" s="9"/>
      <c r="C50" s="15"/>
      <c r="D50" s="19">
        <f>IF(NOT(ISBLANK($A50)),SUM(B$3:B50)-SUM(C$3:C50),"")</f>
        <v>250.89999999999918</v>
      </c>
      <c r="E50" s="9"/>
      <c r="F50" s="15">
        <v>6</v>
      </c>
      <c r="G50" s="19">
        <f>IF(NOT(ISBLANK($A50)),SUM(E$3:E50)-SUM(F$3:F50),"")</f>
        <v>-294.02000000000021</v>
      </c>
      <c r="H50" s="10"/>
      <c r="I50" s="21"/>
      <c r="J50" s="10" t="s">
        <v>29</v>
      </c>
      <c r="K50" s="23"/>
    </row>
    <row r="51" spans="1:11" s="24" customFormat="1" ht="15.75" thickBot="1" x14ac:dyDescent="0.3">
      <c r="A51" s="25">
        <v>42928</v>
      </c>
      <c r="B51" s="29"/>
      <c r="C51" s="30"/>
      <c r="D51" s="31">
        <f>IF(NOT(ISBLANK($A51)),SUM(B$3:B51)-SUM(C$3:C51),"")</f>
        <v>250.89999999999918</v>
      </c>
      <c r="E51" s="29"/>
      <c r="F51" s="30">
        <v>1294.98</v>
      </c>
      <c r="G51" s="31">
        <f>IF(NOT(ISBLANK($A51)),SUM(E$3:E51)-SUM(F$3:F51),"")</f>
        <v>-1589.0000000000002</v>
      </c>
      <c r="H51" s="26" t="b">
        <v>1</v>
      </c>
      <c r="I51" s="27">
        <v>61420</v>
      </c>
      <c r="J51" s="26" t="s">
        <v>30</v>
      </c>
      <c r="K51" s="28" t="s">
        <v>35</v>
      </c>
    </row>
    <row r="52" spans="1:11" x14ac:dyDescent="0.25">
      <c r="A52" s="11">
        <v>42929</v>
      </c>
      <c r="B52" s="7"/>
      <c r="C52" s="14">
        <v>222.42</v>
      </c>
      <c r="D52" s="18">
        <f>IF(NOT(ISBLANK($A52)),SUM(B$3:B52)-SUM(C$3:C52),"")</f>
        <v>28.479999999999109</v>
      </c>
      <c r="E52" s="7"/>
      <c r="F52" s="14"/>
      <c r="G52" s="18">
        <f>IF(NOT(ISBLANK($A52)),SUM(E$3:E52)-SUM(F$3:F52),"")</f>
        <v>-1589.0000000000002</v>
      </c>
      <c r="H52" s="8"/>
      <c r="I52" s="20"/>
      <c r="J52" s="8" t="s">
        <v>15</v>
      </c>
      <c r="K52" s="22"/>
    </row>
    <row r="53" spans="1:11" x14ac:dyDescent="0.25">
      <c r="A53" s="11">
        <v>42929</v>
      </c>
      <c r="B53" s="7"/>
      <c r="C53" s="14">
        <v>5</v>
      </c>
      <c r="D53" s="18">
        <f>IF(NOT(ISBLANK($A53)),SUM(B$3:B53)-SUM(C$3:C53),"")</f>
        <v>23.479999999999109</v>
      </c>
      <c r="E53" s="7"/>
      <c r="F53" s="14"/>
      <c r="G53" s="18">
        <f>IF(NOT(ISBLANK($A53)),SUM(E$3:E53)-SUM(F$3:F53),"")</f>
        <v>-1589.0000000000002</v>
      </c>
      <c r="H53" s="8"/>
      <c r="I53" s="20"/>
      <c r="J53" s="8" t="s">
        <v>16</v>
      </c>
      <c r="K53" s="22"/>
    </row>
    <row r="54" spans="1:11" x14ac:dyDescent="0.25">
      <c r="A54" s="12">
        <v>42930</v>
      </c>
      <c r="B54" s="9"/>
      <c r="C54" s="15"/>
      <c r="D54" s="19">
        <f>IF(NOT(ISBLANK($A54)),SUM(B$3:B54)-SUM(C$3:C54),"")</f>
        <v>23.479999999999109</v>
      </c>
      <c r="E54" s="9"/>
      <c r="F54" s="15">
        <v>58</v>
      </c>
      <c r="G54" s="19">
        <f>IF(NOT(ISBLANK($A54)),SUM(E$3:E54)-SUM(F$3:F54),"")</f>
        <v>-1647.0000000000002</v>
      </c>
      <c r="H54" s="10" t="b">
        <v>1</v>
      </c>
      <c r="I54" s="21">
        <v>61505</v>
      </c>
      <c r="J54" s="10" t="s">
        <v>11</v>
      </c>
      <c r="K54" s="23"/>
    </row>
    <row r="55" spans="1:11" x14ac:dyDescent="0.25">
      <c r="A55" s="12">
        <v>42933</v>
      </c>
      <c r="B55" s="9">
        <v>450</v>
      </c>
      <c r="C55" s="15"/>
      <c r="D55" s="19">
        <f>IF(NOT(ISBLANK($A55)),SUM(B$3:B55)-SUM(C$3:C55),"")</f>
        <v>473.47999999999911</v>
      </c>
      <c r="E55" s="9"/>
      <c r="F55" s="15"/>
      <c r="G55" s="19">
        <f>IF(NOT(ISBLANK($A55)),SUM(E$3:E55)-SUM(F$3:F55),"")</f>
        <v>-1647.0000000000002</v>
      </c>
      <c r="H55" s="10"/>
      <c r="I55" s="21"/>
      <c r="J55" s="10" t="s">
        <v>10</v>
      </c>
      <c r="K55" s="23"/>
    </row>
    <row r="56" spans="1:11" x14ac:dyDescent="0.25">
      <c r="A56" s="12">
        <v>42935</v>
      </c>
      <c r="B56" s="9"/>
      <c r="C56" s="15"/>
      <c r="D56" s="19">
        <f>IF(NOT(ISBLANK($A56)),SUM(B$3:B56)-SUM(C$3:C56),"")</f>
        <v>473.47999999999911</v>
      </c>
      <c r="E56" s="9"/>
      <c r="F56" s="15">
        <v>71.37</v>
      </c>
      <c r="G56" s="19">
        <f>IF(NOT(ISBLANK($A56)),SUM(E$3:E56)-SUM(F$3:F56),"")</f>
        <v>-1718.3700000000001</v>
      </c>
      <c r="H56" s="10" t="b">
        <v>1</v>
      </c>
      <c r="I56" s="21">
        <v>62197</v>
      </c>
      <c r="J56" s="10" t="s">
        <v>11</v>
      </c>
      <c r="K56" s="23"/>
    </row>
    <row r="57" spans="1:11" x14ac:dyDescent="0.25">
      <c r="A57" s="11">
        <v>42941</v>
      </c>
      <c r="B57" s="7"/>
      <c r="C57" s="14"/>
      <c r="D57" s="18">
        <f>IF(NOT(ISBLANK($A57)),SUM(B$3:B57)-SUM(C$3:C57),"")</f>
        <v>473.47999999999911</v>
      </c>
      <c r="E57" s="7"/>
      <c r="F57" s="14">
        <v>70.5</v>
      </c>
      <c r="G57" s="18">
        <f>IF(NOT(ISBLANK($A57)),SUM(E$3:E57)-SUM(F$3:F57),"")</f>
        <v>-1788.8700000000001</v>
      </c>
      <c r="H57" s="8" t="b">
        <v>1</v>
      </c>
      <c r="I57" s="20">
        <v>62862</v>
      </c>
      <c r="J57" s="8" t="s">
        <v>11</v>
      </c>
      <c r="K57" s="22"/>
    </row>
    <row r="58" spans="1:11" x14ac:dyDescent="0.25">
      <c r="A58" s="11">
        <v>42942</v>
      </c>
      <c r="B58" s="7"/>
      <c r="C58" s="14"/>
      <c r="D58" s="18">
        <f>IF(NOT(ISBLANK($A58)),SUM(B$3:B58)-SUM(C$3:C58),"")</f>
        <v>473.47999999999911</v>
      </c>
      <c r="E58" s="7"/>
      <c r="F58" s="14">
        <v>8.5</v>
      </c>
      <c r="G58" s="18">
        <f>IF(NOT(ISBLANK($A58)),SUM(E$3:E58)-SUM(F$3:F58),"")</f>
        <v>-1797.3700000000001</v>
      </c>
      <c r="H58" s="8" t="b">
        <v>1</v>
      </c>
      <c r="I58" s="20"/>
      <c r="J58" s="8" t="s">
        <v>29</v>
      </c>
      <c r="K58" s="22"/>
    </row>
    <row r="59" spans="1:11" x14ac:dyDescent="0.25">
      <c r="A59" s="11">
        <v>42943</v>
      </c>
      <c r="B59" s="7">
        <v>1000</v>
      </c>
      <c r="C59" s="14"/>
      <c r="D59" s="18">
        <f>IF(NOT(ISBLANK($A59)),SUM(B$3:B59)-SUM(C$3:C59),"")</f>
        <v>1473.4799999999996</v>
      </c>
      <c r="E59" s="7"/>
      <c r="F59" s="14"/>
      <c r="G59" s="18">
        <f>IF(NOT(ISBLANK($A59)),SUM(E$3:E59)-SUM(F$3:F59),"")</f>
        <v>-1797.3700000000001</v>
      </c>
      <c r="H59" s="8"/>
      <c r="I59" s="20"/>
      <c r="J59" s="8" t="s">
        <v>10</v>
      </c>
      <c r="K59" s="22"/>
    </row>
    <row r="60" spans="1:11" x14ac:dyDescent="0.25">
      <c r="A60" s="12">
        <v>42943</v>
      </c>
      <c r="B60" s="9"/>
      <c r="C60" s="15"/>
      <c r="D60" s="19">
        <f>IF(NOT(ISBLANK($A60)),SUM(B$3:B60)-SUM(C$3:C60),"")</f>
        <v>1473.4799999999996</v>
      </c>
      <c r="E60" s="9">
        <v>168.09</v>
      </c>
      <c r="F60" s="15"/>
      <c r="G60" s="19">
        <f>IF(NOT(ISBLANK($A60)),SUM(E$3:E60)-SUM(F$3:F60),"")</f>
        <v>-1629.2800000000002</v>
      </c>
      <c r="H60" s="10"/>
      <c r="I60" s="21"/>
      <c r="J60" s="10" t="s">
        <v>19</v>
      </c>
      <c r="K60" s="23" t="s">
        <v>42</v>
      </c>
    </row>
    <row r="61" spans="1:11" x14ac:dyDescent="0.25">
      <c r="A61" s="12">
        <v>42943</v>
      </c>
      <c r="B61" s="9"/>
      <c r="C61" s="15">
        <v>1000</v>
      </c>
      <c r="D61" s="19">
        <f>IF(NOT(ISBLANK($A61)),SUM(B$3:B61)-SUM(C$3:C61),"")</f>
        <v>473.47999999999956</v>
      </c>
      <c r="E61" s="9">
        <v>1000</v>
      </c>
      <c r="F61" s="15"/>
      <c r="G61" s="19">
        <f>IF(NOT(ISBLANK($A61)),SUM(E$3:E61)-SUM(F$3:F61),"")</f>
        <v>-629.2800000000002</v>
      </c>
      <c r="H61" s="10"/>
      <c r="I61" s="21"/>
      <c r="J61" s="10" t="s">
        <v>19</v>
      </c>
      <c r="K61" s="23"/>
    </row>
    <row r="62" spans="1:11" x14ac:dyDescent="0.25">
      <c r="A62" s="12">
        <v>42943</v>
      </c>
      <c r="B62" s="9"/>
      <c r="C62" s="15">
        <v>222.42</v>
      </c>
      <c r="D62" s="19">
        <f>IF(NOT(ISBLANK($A62)),SUM(B$3:B62)-SUM(C$3:C62),"")</f>
        <v>251.05999999999949</v>
      </c>
      <c r="E62" s="9"/>
      <c r="F62" s="15"/>
      <c r="G62" s="19">
        <f>IF(NOT(ISBLANK($A62)),SUM(E$3:E62)-SUM(F$3:F62),"")</f>
        <v>-629.2800000000002</v>
      </c>
      <c r="H62" s="10"/>
      <c r="I62" s="21"/>
      <c r="J62" s="10" t="s">
        <v>15</v>
      </c>
      <c r="K62" s="23"/>
    </row>
    <row r="63" spans="1:11" x14ac:dyDescent="0.25">
      <c r="A63" s="11">
        <v>42944</v>
      </c>
      <c r="B63" s="7"/>
      <c r="C63" s="14"/>
      <c r="D63" s="18">
        <f>IF(NOT(ISBLANK($A63)),SUM(B$3:B63)-SUM(C$3:C63),"")</f>
        <v>251.05999999999949</v>
      </c>
      <c r="E63" s="7"/>
      <c r="F63" s="14">
        <v>37.28</v>
      </c>
      <c r="G63" s="18">
        <f>IF(NOT(ISBLANK($A63)),SUM(E$3:E63)-SUM(F$3:F63),"")</f>
        <v>-666.5600000000004</v>
      </c>
      <c r="H63" s="8" t="b">
        <v>1</v>
      </c>
      <c r="I63" s="20">
        <v>63575</v>
      </c>
      <c r="J63" s="8" t="s">
        <v>40</v>
      </c>
      <c r="K63" s="22"/>
    </row>
    <row r="64" spans="1:11" x14ac:dyDescent="0.25">
      <c r="A64" s="11">
        <v>42945</v>
      </c>
      <c r="B64" s="7"/>
      <c r="C64" s="14"/>
      <c r="D64" s="18">
        <f>IF(NOT(ISBLANK($A64)),SUM(B$3:B64)-SUM(C$3:C64),"")</f>
        <v>251.05999999999949</v>
      </c>
      <c r="E64" s="7"/>
      <c r="F64" s="14">
        <v>68</v>
      </c>
      <c r="G64" s="18">
        <f>IF(NOT(ISBLANK($A64)),SUM(E$3:E64)-SUM(F$3:F64),"")</f>
        <v>-734.5600000000004</v>
      </c>
      <c r="H64" s="8" t="b">
        <v>1</v>
      </c>
      <c r="I64" s="20">
        <v>63615</v>
      </c>
      <c r="J64" s="8" t="s">
        <v>11</v>
      </c>
      <c r="K64" s="22"/>
    </row>
    <row r="65" spans="1:13" x14ac:dyDescent="0.25">
      <c r="A65" s="11">
        <v>42947</v>
      </c>
      <c r="B65" s="7">
        <v>450</v>
      </c>
      <c r="C65" s="14"/>
      <c r="D65" s="18">
        <f>IF(NOT(ISBLANK($A65)),SUM(B$3:B65)-SUM(C$3:C65),"")</f>
        <v>701.05999999999949</v>
      </c>
      <c r="E65" s="7"/>
      <c r="F65" s="14"/>
      <c r="G65" s="18">
        <f>IF(NOT(ISBLANK($A65)),SUM(E$3:E65)-SUM(F$3:F65),"")</f>
        <v>-734.5600000000004</v>
      </c>
      <c r="H65" s="8"/>
      <c r="I65" s="20"/>
      <c r="J65" s="8" t="s">
        <v>10</v>
      </c>
      <c r="K65" s="22"/>
    </row>
    <row r="66" spans="1:13" x14ac:dyDescent="0.25">
      <c r="A66" s="12">
        <v>42953</v>
      </c>
      <c r="B66" s="9"/>
      <c r="C66" s="15"/>
      <c r="D66" s="19">
        <f>IF(NOT(ISBLANK($A66)),SUM(B$3:B66)-SUM(C$3:C66),"")</f>
        <v>701.05999999999949</v>
      </c>
      <c r="E66" s="9"/>
      <c r="F66" s="15">
        <v>74.680000000000007</v>
      </c>
      <c r="G66" s="19">
        <f>IF(NOT(ISBLANK($A66)),SUM(E$3:E66)-SUM(F$3:F66),"")</f>
        <v>-809.24000000000024</v>
      </c>
      <c r="H66" s="10" t="b">
        <v>1</v>
      </c>
      <c r="I66" s="21">
        <v>64251</v>
      </c>
      <c r="J66" s="10" t="s">
        <v>11</v>
      </c>
      <c r="K66" s="23" t="s">
        <v>32</v>
      </c>
    </row>
    <row r="67" spans="1:13" x14ac:dyDescent="0.25">
      <c r="A67" s="12">
        <v>42955</v>
      </c>
      <c r="B67" s="9"/>
      <c r="C67" s="15">
        <v>82.97</v>
      </c>
      <c r="D67" s="19">
        <f>IF(NOT(ISBLANK($A67)),SUM(B$3:B67)-SUM(C$3:C67),"")</f>
        <v>618.08999999999969</v>
      </c>
      <c r="E67" s="9"/>
      <c r="F67" s="15"/>
      <c r="G67" s="19">
        <f>IF(NOT(ISBLANK($A67)),SUM(E$3:E67)-SUM(F$3:F67),"")</f>
        <v>-809.24000000000024</v>
      </c>
      <c r="H67" s="10"/>
      <c r="I67" s="21"/>
      <c r="J67" s="10" t="s">
        <v>14</v>
      </c>
      <c r="K67" s="23"/>
    </row>
    <row r="68" spans="1:13" x14ac:dyDescent="0.25">
      <c r="A68" s="12">
        <v>42956</v>
      </c>
      <c r="B68" s="9"/>
      <c r="C68" s="15">
        <v>355.93</v>
      </c>
      <c r="D68" s="19">
        <f>IF(NOT(ISBLANK($A68)),SUM(B$3:B68)-SUM(C$3:C68),"")</f>
        <v>262.15999999999985</v>
      </c>
      <c r="E68" s="9"/>
      <c r="F68" s="15"/>
      <c r="G68" s="19">
        <f>IF(NOT(ISBLANK($A68)),SUM(E$3:E68)-SUM(F$3:F68),"")</f>
        <v>-809.24000000000024</v>
      </c>
      <c r="H68" s="10" t="b">
        <v>1</v>
      </c>
      <c r="I68" s="21"/>
      <c r="J68" s="10" t="s">
        <v>39</v>
      </c>
      <c r="K68" s="23" t="s">
        <v>41</v>
      </c>
    </row>
    <row r="69" spans="1:13" x14ac:dyDescent="0.25">
      <c r="A69" s="11">
        <v>42956</v>
      </c>
      <c r="B69" s="7">
        <v>400</v>
      </c>
      <c r="C69" s="14"/>
      <c r="D69" s="18">
        <f>IF(NOT(ISBLANK($A69)),SUM(B$3:B69)-SUM(C$3:C69),"")</f>
        <v>662.15999999999985</v>
      </c>
      <c r="E69" s="7"/>
      <c r="F69" s="14"/>
      <c r="G69" s="18">
        <f>IF(NOT(ISBLANK($A69)),SUM(E$3:E69)-SUM(F$3:F69),"")</f>
        <v>-809.24000000000024</v>
      </c>
      <c r="H69" s="8"/>
      <c r="I69" s="20"/>
      <c r="J69" s="8" t="s">
        <v>10</v>
      </c>
      <c r="K69" s="22"/>
    </row>
    <row r="70" spans="1:13" x14ac:dyDescent="0.25">
      <c r="A70" s="11">
        <v>42957</v>
      </c>
      <c r="B70" s="7"/>
      <c r="C70" s="14">
        <v>5</v>
      </c>
      <c r="D70" s="18">
        <f>IF(NOT(ISBLANK($A70)),SUM(B$3:B70)-SUM(C$3:C70),"")</f>
        <v>657.15999999999985</v>
      </c>
      <c r="E70" s="7"/>
      <c r="F70" s="14"/>
      <c r="G70" s="18">
        <f>IF(NOT(ISBLANK($A70)),SUM(E$3:E70)-SUM(F$3:F70),"")</f>
        <v>-809.24000000000024</v>
      </c>
      <c r="H70" s="8" t="b">
        <v>1</v>
      </c>
      <c r="I70" s="20"/>
      <c r="J70" s="8" t="s">
        <v>29</v>
      </c>
      <c r="K70" s="22"/>
    </row>
    <row r="71" spans="1:13" x14ac:dyDescent="0.25">
      <c r="A71" s="11">
        <v>42956</v>
      </c>
      <c r="B71" s="7"/>
      <c r="C71" s="14"/>
      <c r="D71" s="18">
        <f>IF(NOT(ISBLANK($A71)),SUM(B$3:B71)-SUM(C$3:C71),"")</f>
        <v>657.15999999999985</v>
      </c>
      <c r="E71" s="7"/>
      <c r="F71" s="14">
        <v>33</v>
      </c>
      <c r="G71" s="18">
        <f>IF(NOT(ISBLANK($A71)),SUM(E$3:E71)-SUM(F$3:F71),"")</f>
        <v>-842.24000000000024</v>
      </c>
      <c r="H71" s="8" t="b">
        <v>1</v>
      </c>
      <c r="I71" s="20"/>
      <c r="J71" s="8" t="s">
        <v>43</v>
      </c>
      <c r="K71" s="22" t="s">
        <v>44</v>
      </c>
    </row>
    <row r="72" spans="1:13" x14ac:dyDescent="0.25">
      <c r="A72" s="12">
        <v>42956</v>
      </c>
      <c r="B72" s="9"/>
      <c r="C72" s="15">
        <v>351.77</v>
      </c>
      <c r="D72" s="19">
        <f>IF(NOT(ISBLANK($A72)),SUM(B$3:B72)-SUM(C$3:C72),"")</f>
        <v>305.38999999999942</v>
      </c>
      <c r="E72" s="9">
        <v>351.77</v>
      </c>
      <c r="F72" s="15"/>
      <c r="G72" s="19">
        <f>IF(NOT(ISBLANK($A72)),SUM(E$3:E72)-SUM(F$3:F72),"")</f>
        <v>-490.47000000000025</v>
      </c>
      <c r="H72" s="10"/>
      <c r="I72" s="21"/>
      <c r="J72" s="10" t="s">
        <v>19</v>
      </c>
      <c r="K72" s="23"/>
    </row>
    <row r="73" spans="1:13" x14ac:dyDescent="0.25">
      <c r="A73" s="12"/>
      <c r="B73" s="9"/>
      <c r="C73" s="15"/>
      <c r="D73" s="19" t="str">
        <f>IF(NOT(ISBLANK($A73)),SUM(B$3:B73)-SUM(C$3:C73),"")</f>
        <v/>
      </c>
      <c r="E73" s="9"/>
      <c r="F73" s="15"/>
      <c r="G73" s="19" t="str">
        <f>IF(NOT(ISBLANK($A73)),SUM(E$3:E73)-SUM(F$3:F73),"")</f>
        <v/>
      </c>
      <c r="H73" s="10"/>
      <c r="I73" s="21"/>
      <c r="J73" s="10"/>
      <c r="K73" s="23"/>
      <c r="M73" s="37"/>
    </row>
    <row r="74" spans="1:13" x14ac:dyDescent="0.25">
      <c r="A74" s="12"/>
      <c r="B74" s="9"/>
      <c r="C74" s="15"/>
      <c r="D74" s="19" t="str">
        <f>IF(NOT(ISBLANK($A74)),SUM(B$3:B74)-SUM(C$3:C74),"")</f>
        <v/>
      </c>
      <c r="E74" s="9"/>
      <c r="F74" s="15"/>
      <c r="G74" s="19" t="str">
        <f>IF(NOT(ISBLANK($A74)),SUM(E$3:E74)-SUM(F$3:F74),"")</f>
        <v/>
      </c>
      <c r="H74" s="10"/>
      <c r="I74" s="21"/>
      <c r="J74" s="10"/>
      <c r="K74" s="23"/>
      <c r="M74" s="37"/>
    </row>
    <row r="75" spans="1:13" x14ac:dyDescent="0.25">
      <c r="A75" s="11"/>
      <c r="B75" s="7"/>
      <c r="C75" s="14"/>
      <c r="D75" s="18" t="str">
        <f>IF(NOT(ISBLANK($A75)),SUM(B$3:B75)-SUM(C$3:C75),"")</f>
        <v/>
      </c>
      <c r="E75" s="7"/>
      <c r="F75" s="14"/>
      <c r="G75" s="18" t="str">
        <f>IF(NOT(ISBLANK($A75)),SUM(E$3:E75)-SUM(F$3:F75),"")</f>
        <v/>
      </c>
      <c r="H75" s="8"/>
      <c r="I75" s="20"/>
      <c r="J75" s="8"/>
      <c r="K75" s="22"/>
      <c r="M75" s="38"/>
    </row>
    <row r="76" spans="1:13" x14ac:dyDescent="0.25">
      <c r="A76" s="11"/>
      <c r="B76" s="7"/>
      <c r="C76" s="14"/>
      <c r="D76" s="18" t="str">
        <f>IF(NOT(ISBLANK($A76)),SUM(B$3:B76)-SUM(C$3:C76),"")</f>
        <v/>
      </c>
      <c r="E76" s="7"/>
      <c r="F76" s="14"/>
      <c r="G76" s="18" t="str">
        <f>IF(NOT(ISBLANK($A76)),SUM(E$3:E76)-SUM(F$3:F76),"")</f>
        <v/>
      </c>
      <c r="H76" s="8"/>
      <c r="I76" s="20"/>
      <c r="J76" s="8"/>
      <c r="K76" s="22"/>
      <c r="M76" s="38"/>
    </row>
    <row r="77" spans="1:13" x14ac:dyDescent="0.25">
      <c r="A77" s="11"/>
      <c r="B77" s="7"/>
      <c r="C77" s="14"/>
      <c r="D77" s="18" t="str">
        <f>IF(NOT(ISBLANK($A77)),SUM(B$3:B77)-SUM(C$3:C77),"")</f>
        <v/>
      </c>
      <c r="E77" s="7"/>
      <c r="F77" s="14"/>
      <c r="G77" s="18" t="str">
        <f>IF(NOT(ISBLANK($A77)),SUM(E$3:E77)-SUM(F$3:F77),"")</f>
        <v/>
      </c>
      <c r="H77" s="8"/>
      <c r="I77" s="20"/>
      <c r="J77" s="8"/>
      <c r="K77" s="22"/>
    </row>
    <row r="78" spans="1:13" x14ac:dyDescent="0.25">
      <c r="A78" s="12"/>
      <c r="B78" s="9"/>
      <c r="C78" s="15"/>
      <c r="D78" s="19" t="str">
        <f>IF(NOT(ISBLANK($A78)),SUM(B$3:B78)-SUM(C$3:C78),"")</f>
        <v/>
      </c>
      <c r="E78" s="9"/>
      <c r="F78" s="15"/>
      <c r="G78" s="19" t="str">
        <f>IF(NOT(ISBLANK($A78)),SUM(E$3:E78)-SUM(F$3:F78),"")</f>
        <v/>
      </c>
      <c r="H78" s="10"/>
      <c r="I78" s="21"/>
      <c r="J78" s="10"/>
      <c r="K78" s="23"/>
    </row>
    <row r="79" spans="1:13" x14ac:dyDescent="0.25">
      <c r="A79" s="12"/>
      <c r="B79" s="9"/>
      <c r="C79" s="15"/>
      <c r="D79" s="19" t="str">
        <f>IF(NOT(ISBLANK($A79)),SUM(B$3:B79)-SUM(C$3:C79),"")</f>
        <v/>
      </c>
      <c r="E79" s="9"/>
      <c r="F79" s="15"/>
      <c r="G79" s="19" t="str">
        <f>IF(NOT(ISBLANK($A79)),SUM(E$3:E79)-SUM(F$3:F79),"")</f>
        <v/>
      </c>
      <c r="H79" s="10"/>
      <c r="I79" s="21"/>
      <c r="J79" s="10"/>
      <c r="K79" s="23"/>
    </row>
    <row r="80" spans="1:13" x14ac:dyDescent="0.25">
      <c r="A80" s="12"/>
      <c r="B80" s="9"/>
      <c r="C80" s="15"/>
      <c r="D80" s="19" t="str">
        <f>IF(NOT(ISBLANK($A80)),SUM(B$3:B80)-SUM(C$3:C80),"")</f>
        <v/>
      </c>
      <c r="E80" s="9"/>
      <c r="F80" s="15"/>
      <c r="G80" s="19" t="str">
        <f>IF(NOT(ISBLANK($A80)),SUM(E$3:E80)-SUM(F$3:F80),"")</f>
        <v/>
      </c>
      <c r="H80" s="10"/>
      <c r="I80" s="21"/>
      <c r="J80" s="10"/>
      <c r="K80" s="23"/>
    </row>
    <row r="81" spans="1:11" x14ac:dyDescent="0.25">
      <c r="A81" s="11"/>
      <c r="B81" s="7"/>
      <c r="C81" s="14"/>
      <c r="D81" s="18" t="str">
        <f>IF(NOT(ISBLANK($A81)),SUM(B$3:B81)-SUM(C$3:C81),"")</f>
        <v/>
      </c>
      <c r="E81" s="7"/>
      <c r="F81" s="14"/>
      <c r="G81" s="18" t="str">
        <f>IF(NOT(ISBLANK($A81)),SUM(E$3:E81)-SUM(F$3:F81),"")</f>
        <v/>
      </c>
      <c r="H81" s="8"/>
      <c r="I81" s="20"/>
      <c r="J81" s="8"/>
      <c r="K81" s="22"/>
    </row>
    <row r="82" spans="1:11" x14ac:dyDescent="0.25">
      <c r="A82" s="11"/>
      <c r="B82" s="7"/>
      <c r="C82" s="14"/>
      <c r="D82" s="18" t="str">
        <f>IF(NOT(ISBLANK($A82)),SUM(B$3:B82)-SUM(C$3:C82),"")</f>
        <v/>
      </c>
      <c r="E82" s="7"/>
      <c r="F82" s="14"/>
      <c r="G82" s="18" t="str">
        <f>IF(NOT(ISBLANK($A82)),SUM(E$3:E82)-SUM(F$3:F82),"")</f>
        <v/>
      </c>
      <c r="H82" s="8"/>
      <c r="I82" s="20"/>
      <c r="J82" s="8"/>
      <c r="K82" s="22"/>
    </row>
    <row r="83" spans="1:11" x14ac:dyDescent="0.25">
      <c r="A83" s="11"/>
      <c r="B83" s="7"/>
      <c r="C83" s="14"/>
      <c r="D83" s="18" t="str">
        <f>IF(NOT(ISBLANK($A83)),SUM(B$3:B83)-SUM(C$3:C83),"")</f>
        <v/>
      </c>
      <c r="E83" s="7"/>
      <c r="F83" s="14"/>
      <c r="G83" s="18" t="str">
        <f>IF(NOT(ISBLANK($A83)),SUM(E$3:E83)-SUM(F$3:F83),"")</f>
        <v/>
      </c>
      <c r="H83" s="8"/>
      <c r="I83" s="20"/>
      <c r="J83" s="8"/>
      <c r="K83" s="22"/>
    </row>
    <row r="84" spans="1:11" x14ac:dyDescent="0.25">
      <c r="A84" s="12"/>
      <c r="B84" s="9"/>
      <c r="C84" s="15"/>
      <c r="D84" s="19" t="str">
        <f>IF(NOT(ISBLANK($A84)),SUM(B$3:B84)-SUM(C$3:C84),"")</f>
        <v/>
      </c>
      <c r="E84" s="9"/>
      <c r="F84" s="15"/>
      <c r="G84" s="19" t="str">
        <f>IF(NOT(ISBLANK($A84)),SUM(E$3:E84)-SUM(F$3:F84),"")</f>
        <v/>
      </c>
      <c r="H84" s="10"/>
      <c r="I84" s="21"/>
      <c r="J84" s="10"/>
      <c r="K84" s="23"/>
    </row>
    <row r="85" spans="1:11" x14ac:dyDescent="0.25">
      <c r="A85" s="12"/>
      <c r="B85" s="9"/>
      <c r="C85" s="15"/>
      <c r="D85" s="19" t="str">
        <f>IF(NOT(ISBLANK($A85)),SUM(B$3:B85)-SUM(C$3:C85),"")</f>
        <v/>
      </c>
      <c r="E85" s="9"/>
      <c r="F85" s="15"/>
      <c r="G85" s="19" t="str">
        <f>IF(NOT(ISBLANK($A85)),SUM(E$3:E85)-SUM(F$3:F85),"")</f>
        <v/>
      </c>
      <c r="H85" s="10"/>
      <c r="I85" s="21"/>
      <c r="J85" s="10"/>
      <c r="K85" s="23"/>
    </row>
    <row r="86" spans="1:11" x14ac:dyDescent="0.25">
      <c r="A86" s="12"/>
      <c r="B86" s="9"/>
      <c r="C86" s="15"/>
      <c r="D86" s="19" t="str">
        <f>IF(NOT(ISBLANK($A86)),SUM(B$3:B86)-SUM(C$3:C86),"")</f>
        <v/>
      </c>
      <c r="E86" s="9"/>
      <c r="F86" s="15"/>
      <c r="G86" s="19" t="str">
        <f>IF(NOT(ISBLANK($A86)),SUM(E$3:E86)-SUM(F$3:F86),"")</f>
        <v/>
      </c>
      <c r="H86" s="10"/>
      <c r="I86" s="21"/>
      <c r="J86" s="10"/>
      <c r="K86" s="23"/>
    </row>
    <row r="87" spans="1:11" x14ac:dyDescent="0.25">
      <c r="A87" s="11"/>
      <c r="B87" s="7"/>
      <c r="C87" s="14"/>
      <c r="D87" s="18" t="str">
        <f>IF(NOT(ISBLANK($A87)),SUM(B$3:B87)-SUM(C$3:C87),"")</f>
        <v/>
      </c>
      <c r="E87" s="7"/>
      <c r="F87" s="14"/>
      <c r="G87" s="18" t="str">
        <f>IF(NOT(ISBLANK($A87)),SUM(E$3:E87)-SUM(F$3:F87),"")</f>
        <v/>
      </c>
      <c r="H87" s="8"/>
      <c r="I87" s="20"/>
      <c r="J87" s="8"/>
      <c r="K87" s="22"/>
    </row>
    <row r="88" spans="1:11" x14ac:dyDescent="0.25">
      <c r="A88" s="11"/>
      <c r="B88" s="7"/>
      <c r="C88" s="14"/>
      <c r="D88" s="18" t="str">
        <f>IF(NOT(ISBLANK($A88)),SUM(B$3:B88)-SUM(C$3:C88),"")</f>
        <v/>
      </c>
      <c r="E88" s="7"/>
      <c r="F88" s="14"/>
      <c r="G88" s="18" t="str">
        <f>IF(NOT(ISBLANK($A88)),SUM(E$3:E88)-SUM(F$3:F88),"")</f>
        <v/>
      </c>
      <c r="H88" s="8"/>
      <c r="I88" s="20"/>
      <c r="J88" s="8"/>
      <c r="K88" s="22"/>
    </row>
    <row r="89" spans="1:11" x14ac:dyDescent="0.25">
      <c r="A89" s="11"/>
      <c r="B89" s="7"/>
      <c r="C89" s="14"/>
      <c r="D89" s="18" t="str">
        <f>IF(NOT(ISBLANK($A89)),SUM(B$3:B89)-SUM(C$3:C89),"")</f>
        <v/>
      </c>
      <c r="E89" s="7"/>
      <c r="F89" s="14"/>
      <c r="G89" s="18" t="str">
        <f>IF(NOT(ISBLANK($A89)),SUM(E$3:E89)-SUM(F$3:F89),"")</f>
        <v/>
      </c>
      <c r="H89" s="8"/>
      <c r="I89" s="20"/>
      <c r="J89" s="8"/>
      <c r="K89" s="22"/>
    </row>
    <row r="90" spans="1:11" x14ac:dyDescent="0.25">
      <c r="A90" s="12"/>
      <c r="B90" s="9"/>
      <c r="C90" s="15"/>
      <c r="D90" s="19" t="str">
        <f>IF(NOT(ISBLANK($A90)),SUM(B$3:B90)-SUM(C$3:C90),"")</f>
        <v/>
      </c>
      <c r="E90" s="9"/>
      <c r="F90" s="15"/>
      <c r="G90" s="19" t="str">
        <f>IF(NOT(ISBLANK($A90)),SUM(E$3:E90)-SUM(F$3:F90),"")</f>
        <v/>
      </c>
      <c r="H90" s="10"/>
      <c r="I90" s="21"/>
      <c r="J90" s="10"/>
      <c r="K90" s="23"/>
    </row>
    <row r="91" spans="1:11" x14ac:dyDescent="0.25">
      <c r="A91" s="12"/>
      <c r="B91" s="9"/>
      <c r="C91" s="15"/>
      <c r="D91" s="19" t="str">
        <f>IF(NOT(ISBLANK($A91)),SUM(B$3:B91)-SUM(C$3:C91),"")</f>
        <v/>
      </c>
      <c r="E91" s="9"/>
      <c r="F91" s="15"/>
      <c r="G91" s="19" t="str">
        <f>IF(NOT(ISBLANK($A91)),SUM(E$3:E91)-SUM(F$3:F91),"")</f>
        <v/>
      </c>
      <c r="H91" s="10"/>
      <c r="I91" s="21"/>
      <c r="J91" s="10"/>
      <c r="K91" s="23"/>
    </row>
    <row r="92" spans="1:11" x14ac:dyDescent="0.25">
      <c r="A92" s="12"/>
      <c r="B92" s="9"/>
      <c r="C92" s="15"/>
      <c r="D92" s="19" t="str">
        <f>IF(NOT(ISBLANK($A92)),SUM(B$3:B92)-SUM(C$3:C92),"")</f>
        <v/>
      </c>
      <c r="E92" s="9"/>
      <c r="F92" s="15"/>
      <c r="G92" s="19" t="str">
        <f>IF(NOT(ISBLANK($A92)),SUM(E$3:E92)-SUM(F$3:F92),"")</f>
        <v/>
      </c>
      <c r="H92" s="10"/>
      <c r="I92" s="21"/>
      <c r="J92" s="10"/>
      <c r="K92" s="23"/>
    </row>
    <row r="93" spans="1:11" x14ac:dyDescent="0.25">
      <c r="A93" s="11"/>
      <c r="B93" s="7"/>
      <c r="C93" s="14"/>
      <c r="D93" s="18" t="str">
        <f>IF(NOT(ISBLANK($A93)),SUM(B$3:B93)-SUM(C$3:C93),"")</f>
        <v/>
      </c>
      <c r="E93" s="7"/>
      <c r="F93" s="14"/>
      <c r="G93" s="18" t="str">
        <f>IF(NOT(ISBLANK($A93)),SUM(E$3:E93)-SUM(F$3:F93),"")</f>
        <v/>
      </c>
      <c r="H93" s="8"/>
      <c r="I93" s="20"/>
      <c r="J93" s="8"/>
      <c r="K93" s="22"/>
    </row>
    <row r="94" spans="1:11" x14ac:dyDescent="0.25">
      <c r="A94" s="11"/>
      <c r="B94" s="7"/>
      <c r="C94" s="14"/>
      <c r="D94" s="18" t="str">
        <f>IF(NOT(ISBLANK($A94)),SUM(B$3:B94)-SUM(C$3:C94),"")</f>
        <v/>
      </c>
      <c r="E94" s="7"/>
      <c r="F94" s="14"/>
      <c r="G94" s="18" t="str">
        <f>IF(NOT(ISBLANK($A94)),SUM(E$3:E94)-SUM(F$3:F94),"")</f>
        <v/>
      </c>
      <c r="H94" s="8"/>
      <c r="I94" s="20"/>
      <c r="J94" s="8"/>
      <c r="K94" s="22"/>
    </row>
    <row r="95" spans="1:11" x14ac:dyDescent="0.25">
      <c r="A95" s="11"/>
      <c r="B95" s="7"/>
      <c r="C95" s="14"/>
      <c r="D95" s="18" t="str">
        <f>IF(NOT(ISBLANK($A95)),SUM(B$3:B95)-SUM(C$3:C95),"")</f>
        <v/>
      </c>
      <c r="E95" s="7"/>
      <c r="F95" s="14"/>
      <c r="G95" s="18" t="str">
        <f>IF(NOT(ISBLANK($A95)),SUM(E$3:E95)-SUM(F$3:F95),"")</f>
        <v/>
      </c>
      <c r="H95" s="8"/>
      <c r="I95" s="20"/>
      <c r="J95" s="8"/>
      <c r="K95" s="22"/>
    </row>
    <row r="96" spans="1:11" x14ac:dyDescent="0.25">
      <c r="A96" s="12"/>
      <c r="B96" s="9"/>
      <c r="C96" s="15"/>
      <c r="D96" s="19" t="str">
        <f>IF(NOT(ISBLANK($A96)),SUM(B$3:B96)-SUM(C$3:C96),"")</f>
        <v/>
      </c>
      <c r="E96" s="9"/>
      <c r="F96" s="15"/>
      <c r="G96" s="19" t="str">
        <f>IF(NOT(ISBLANK($A96)),SUM(E$3:E96)-SUM(F$3:F96),"")</f>
        <v/>
      </c>
      <c r="H96" s="10"/>
      <c r="I96" s="21"/>
      <c r="J96" s="10"/>
      <c r="K96" s="23"/>
    </row>
    <row r="97" spans="1:11" x14ac:dyDescent="0.25">
      <c r="A97" s="12"/>
      <c r="B97" s="9"/>
      <c r="C97" s="15"/>
      <c r="D97" s="19" t="str">
        <f>IF(NOT(ISBLANK($A97)),SUM(B$3:B97)-SUM(C$3:C97),"")</f>
        <v/>
      </c>
      <c r="E97" s="9"/>
      <c r="F97" s="15"/>
      <c r="G97" s="19" t="str">
        <f>IF(NOT(ISBLANK($A97)),SUM(E$3:E97)-SUM(F$3:F97),"")</f>
        <v/>
      </c>
      <c r="H97" s="10"/>
      <c r="I97" s="21"/>
      <c r="J97" s="10"/>
      <c r="K97" s="23"/>
    </row>
    <row r="98" spans="1:11" x14ac:dyDescent="0.25">
      <c r="A98" s="12"/>
      <c r="B98" s="9"/>
      <c r="C98" s="15"/>
      <c r="D98" s="19" t="str">
        <f>IF(NOT(ISBLANK($A98)),SUM(B$3:B98)-SUM(C$3:C98),"")</f>
        <v/>
      </c>
      <c r="E98" s="9"/>
      <c r="F98" s="15"/>
      <c r="G98" s="19" t="str">
        <f>IF(NOT(ISBLANK($A98)),SUM(E$3:E98)-SUM(F$3:F98),"")</f>
        <v/>
      </c>
      <c r="H98" s="10"/>
      <c r="I98" s="21"/>
      <c r="J98" s="10"/>
      <c r="K98" s="23"/>
    </row>
    <row r="99" spans="1:11" x14ac:dyDescent="0.25">
      <c r="A99" s="11"/>
      <c r="B99" s="7"/>
      <c r="C99" s="14"/>
      <c r="D99" s="18" t="str">
        <f>IF(NOT(ISBLANK($A99)),SUM(B$3:B99)-SUM(C$3:C99),"")</f>
        <v/>
      </c>
      <c r="E99" s="7"/>
      <c r="F99" s="14"/>
      <c r="G99" s="18" t="str">
        <f>IF(NOT(ISBLANK($A99)),SUM(E$3:E99)-SUM(F$3:F99),"")</f>
        <v/>
      </c>
      <c r="H99" s="8"/>
      <c r="I99" s="20"/>
      <c r="J99" s="8"/>
      <c r="K99" s="22"/>
    </row>
    <row r="100" spans="1:11" x14ac:dyDescent="0.25">
      <c r="A100" s="11"/>
      <c r="B100" s="7"/>
      <c r="C100" s="14"/>
      <c r="D100" s="18" t="str">
        <f>IF(NOT(ISBLANK($A100)),SUM(B$3:B100)-SUM(C$3:C100),"")</f>
        <v/>
      </c>
      <c r="E100" s="7"/>
      <c r="F100" s="14"/>
      <c r="G100" s="18" t="str">
        <f>IF(NOT(ISBLANK($A100)),SUM(E$3:E100)-SUM(F$3:F100),"")</f>
        <v/>
      </c>
      <c r="H100" s="8"/>
      <c r="I100" s="20"/>
      <c r="J100" s="8"/>
      <c r="K100" s="22"/>
    </row>
    <row r="101" spans="1:11" x14ac:dyDescent="0.25">
      <c r="A101" s="11"/>
      <c r="B101" s="7"/>
      <c r="C101" s="14"/>
      <c r="D101" s="18" t="str">
        <f>IF(NOT(ISBLANK($A101)),SUM(B$3:B101)-SUM(C$3:C101),"")</f>
        <v/>
      </c>
      <c r="E101" s="7"/>
      <c r="F101" s="14"/>
      <c r="G101" s="18" t="str">
        <f>IF(NOT(ISBLANK($A101)),SUM(E$3:E101)-SUM(F$3:F101),"")</f>
        <v/>
      </c>
      <c r="H101" s="8"/>
      <c r="I101" s="20"/>
      <c r="J101" s="8"/>
      <c r="K101" s="22"/>
    </row>
    <row r="102" spans="1:11" x14ac:dyDescent="0.25">
      <c r="A102" s="12"/>
      <c r="B102" s="9"/>
      <c r="C102" s="15"/>
      <c r="D102" s="19" t="str">
        <f>IF(NOT(ISBLANK($A102)),SUM(B$3:B102)-SUM(C$3:C102),"")</f>
        <v/>
      </c>
      <c r="E102" s="9"/>
      <c r="F102" s="15"/>
      <c r="G102" s="19" t="str">
        <f>IF(NOT(ISBLANK($A102)),SUM(E$3:E102)-SUM(F$3:F102),"")</f>
        <v/>
      </c>
      <c r="H102" s="10"/>
      <c r="I102" s="21"/>
      <c r="J102" s="10"/>
      <c r="K102" s="23"/>
    </row>
    <row r="103" spans="1:11" x14ac:dyDescent="0.25">
      <c r="A103" s="12"/>
      <c r="B103" s="9"/>
      <c r="C103" s="15"/>
      <c r="D103" s="19" t="str">
        <f>IF(NOT(ISBLANK($A103)),SUM(B$3:B103)-SUM(C$3:C103),"")</f>
        <v/>
      </c>
      <c r="E103" s="9"/>
      <c r="F103" s="15"/>
      <c r="G103" s="19" t="str">
        <f>IF(NOT(ISBLANK($A103)),SUM(E$3:E103)-SUM(F$3:F103),"")</f>
        <v/>
      </c>
      <c r="H103" s="10"/>
      <c r="I103" s="21"/>
      <c r="J103" s="10"/>
      <c r="K103" s="23"/>
    </row>
    <row r="104" spans="1:11" x14ac:dyDescent="0.25">
      <c r="A104" s="12"/>
      <c r="B104" s="9"/>
      <c r="C104" s="15"/>
      <c r="D104" s="19" t="str">
        <f>IF(NOT(ISBLANK($A104)),SUM(B$3:B104)-SUM(C$3:C104),"")</f>
        <v/>
      </c>
      <c r="E104" s="9"/>
      <c r="F104" s="15"/>
      <c r="G104" s="19" t="str">
        <f>IF(NOT(ISBLANK($A104)),SUM(E$3:E104)-SUM(F$3:F104),"")</f>
        <v/>
      </c>
      <c r="H104" s="10"/>
      <c r="I104" s="21"/>
      <c r="J104" s="10"/>
      <c r="K104" s="23"/>
    </row>
    <row r="105" spans="1:11" x14ac:dyDescent="0.25">
      <c r="A105" s="11"/>
      <c r="B105" s="7"/>
      <c r="C105" s="14"/>
      <c r="D105" s="18" t="str">
        <f>IF(NOT(ISBLANK($A105)),SUM(B$3:B105)-SUM(C$3:C105),"")</f>
        <v/>
      </c>
      <c r="E105" s="7"/>
      <c r="F105" s="14"/>
      <c r="G105" s="18" t="str">
        <f>IF(NOT(ISBLANK($A105)),SUM(E$3:E105)-SUM(F$3:F105),"")</f>
        <v/>
      </c>
      <c r="H105" s="8"/>
      <c r="I105" s="20"/>
      <c r="J105" s="8"/>
      <c r="K105" s="22"/>
    </row>
    <row r="106" spans="1:11" x14ac:dyDescent="0.25">
      <c r="A106" s="11"/>
      <c r="B106" s="7"/>
      <c r="C106" s="14"/>
      <c r="D106" s="18"/>
      <c r="E106" s="7"/>
      <c r="F106" s="14"/>
      <c r="G106" s="18"/>
      <c r="H106" s="8"/>
      <c r="I106" s="20"/>
      <c r="J106" s="8"/>
      <c r="K106" s="22"/>
    </row>
    <row r="107" spans="1:11" x14ac:dyDescent="0.25">
      <c r="B107" s="1"/>
      <c r="C107" s="16"/>
      <c r="D107" s="2"/>
      <c r="E107" s="1"/>
      <c r="F107" s="16"/>
      <c r="G107" s="2"/>
    </row>
    <row r="108" spans="1:11" x14ac:dyDescent="0.25">
      <c r="B108" s="1"/>
      <c r="C108" s="16"/>
      <c r="D108" s="2"/>
      <c r="E108" s="1"/>
      <c r="F108" s="16"/>
      <c r="G108" s="2"/>
    </row>
    <row r="109" spans="1:11" x14ac:dyDescent="0.25">
      <c r="B109" s="1"/>
      <c r="C109" s="16"/>
      <c r="D109" s="2"/>
      <c r="E109" s="1"/>
      <c r="F109" s="16"/>
      <c r="G109" s="2"/>
    </row>
    <row r="110" spans="1:11" x14ac:dyDescent="0.25">
      <c r="B110" s="1"/>
      <c r="C110" s="16"/>
      <c r="D110" s="2"/>
      <c r="E110" s="1"/>
      <c r="F110" s="16"/>
      <c r="G110" s="2"/>
    </row>
    <row r="111" spans="1:11" x14ac:dyDescent="0.25">
      <c r="B111" s="1"/>
      <c r="C111" s="16"/>
      <c r="D111" s="2"/>
      <c r="E111" s="1"/>
      <c r="F111" s="16"/>
      <c r="G111" s="2"/>
    </row>
    <row r="112" spans="1:11" x14ac:dyDescent="0.25">
      <c r="B112" s="1"/>
      <c r="C112" s="16"/>
      <c r="D112" s="2"/>
      <c r="E112" s="1"/>
      <c r="F112" s="16"/>
      <c r="G112" s="2"/>
    </row>
    <row r="113" spans="2:7" x14ac:dyDescent="0.25">
      <c r="B113" s="1"/>
      <c r="C113" s="16"/>
      <c r="D113" s="2"/>
      <c r="E113" s="1"/>
      <c r="F113" s="16"/>
      <c r="G113" s="2"/>
    </row>
    <row r="114" spans="2:7" x14ac:dyDescent="0.25">
      <c r="B114" s="1"/>
      <c r="C114" s="16"/>
      <c r="D114" s="2"/>
      <c r="E114" s="1"/>
      <c r="F114" s="16"/>
      <c r="G114" s="2"/>
    </row>
    <row r="115" spans="2:7" x14ac:dyDescent="0.25">
      <c r="B115" s="1"/>
      <c r="C115" s="16"/>
      <c r="D115" s="2"/>
      <c r="E115" s="1"/>
      <c r="F115" s="16"/>
      <c r="G115" s="2"/>
    </row>
    <row r="116" spans="2:7" x14ac:dyDescent="0.25">
      <c r="B116" s="1"/>
      <c r="C116" s="16"/>
      <c r="D116" s="2"/>
      <c r="E116" s="1"/>
      <c r="F116" s="16"/>
      <c r="G116" s="2"/>
    </row>
    <row r="117" spans="2:7" x14ac:dyDescent="0.25">
      <c r="B117" s="1"/>
      <c r="C117" s="16"/>
      <c r="D117" s="2"/>
      <c r="E117" s="1"/>
      <c r="F117" s="16"/>
      <c r="G117" s="2"/>
    </row>
    <row r="118" spans="2:7" x14ac:dyDescent="0.25">
      <c r="B118" s="1"/>
      <c r="C118" s="16"/>
      <c r="D118" s="2"/>
      <c r="E118" s="1"/>
      <c r="F118" s="16"/>
      <c r="G118" s="2"/>
    </row>
    <row r="119" spans="2:7" x14ac:dyDescent="0.25">
      <c r="B119" s="1"/>
      <c r="C119" s="16"/>
      <c r="D119" s="2"/>
      <c r="E119" s="1"/>
      <c r="F119" s="16"/>
      <c r="G119" s="2"/>
    </row>
    <row r="120" spans="2:7" x14ac:dyDescent="0.25">
      <c r="B120" s="1"/>
      <c r="C120" s="16"/>
      <c r="D120" s="2"/>
      <c r="E120" s="1"/>
      <c r="F120" s="16"/>
      <c r="G120" s="2"/>
    </row>
    <row r="121" spans="2:7" x14ac:dyDescent="0.25">
      <c r="B121" s="1"/>
      <c r="C121" s="16"/>
      <c r="D121" s="2"/>
      <c r="E121" s="1"/>
      <c r="F121" s="16"/>
      <c r="G121" s="2"/>
    </row>
    <row r="122" spans="2:7" x14ac:dyDescent="0.25">
      <c r="B122" s="1"/>
      <c r="C122" s="16"/>
      <c r="D122" s="2"/>
      <c r="E122" s="1"/>
      <c r="F122" s="16"/>
      <c r="G122" s="2"/>
    </row>
    <row r="123" spans="2:7" x14ac:dyDescent="0.25">
      <c r="B123" s="1"/>
      <c r="C123" s="16"/>
      <c r="D123" s="2"/>
      <c r="E123" s="1"/>
      <c r="F123" s="16"/>
      <c r="G123" s="2"/>
    </row>
    <row r="124" spans="2:7" x14ac:dyDescent="0.25">
      <c r="B124" s="1"/>
      <c r="C124" s="16"/>
      <c r="D124" s="2"/>
      <c r="E124" s="1"/>
      <c r="F124" s="16"/>
      <c r="G124" s="2"/>
    </row>
    <row r="125" spans="2:7" x14ac:dyDescent="0.25">
      <c r="B125" s="1"/>
      <c r="C125" s="16"/>
      <c r="D125" s="2"/>
      <c r="E125" s="1"/>
      <c r="F125" s="16"/>
      <c r="G125" s="2"/>
    </row>
    <row r="126" spans="2:7" x14ac:dyDescent="0.25">
      <c r="B126" s="1"/>
      <c r="C126" s="16"/>
      <c r="D126" s="2"/>
      <c r="E126" s="1"/>
      <c r="F126" s="16"/>
      <c r="G126" s="2"/>
    </row>
    <row r="127" spans="2:7" x14ac:dyDescent="0.25">
      <c r="B127" s="1"/>
      <c r="C127" s="16"/>
      <c r="D127" s="2"/>
      <c r="E127" s="1"/>
      <c r="F127" s="16"/>
      <c r="G127" s="2"/>
    </row>
    <row r="128" spans="2:7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  <row r="227" spans="2:7" x14ac:dyDescent="0.25">
      <c r="B227" s="1"/>
      <c r="C227" s="16"/>
      <c r="D227" s="2"/>
      <c r="E227" s="1"/>
      <c r="F227" s="16"/>
      <c r="G227" s="2"/>
    </row>
    <row r="228" spans="2:7" x14ac:dyDescent="0.25">
      <c r="B228" s="1"/>
      <c r="C228" s="16"/>
      <c r="D228" s="2"/>
      <c r="E228" s="1"/>
      <c r="F228" s="16"/>
      <c r="G228" s="2"/>
    </row>
    <row r="229" spans="2:7" x14ac:dyDescent="0.25">
      <c r="B229" s="1"/>
      <c r="C229" s="16"/>
      <c r="D229" s="2"/>
      <c r="E229" s="1"/>
      <c r="F229" s="16"/>
      <c r="G229" s="2"/>
    </row>
    <row r="230" spans="2:7" x14ac:dyDescent="0.25">
      <c r="B230" s="1"/>
      <c r="C230" s="16"/>
      <c r="D230" s="2"/>
      <c r="E230" s="1"/>
      <c r="F230" s="16"/>
      <c r="G230" s="2"/>
    </row>
  </sheetData>
  <sortState ref="A52:K71">
    <sortCondition ref="A52:A71"/>
  </sortState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</vt:lpstr>
      <vt:lpstr>Swimming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2017-08-09T23:58:03Z</dcterms:modified>
</cp:coreProperties>
</file>