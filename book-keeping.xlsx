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150" windowWidth="28755" windowHeight="5835" activeTab="3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House" sheetId="9" r:id="rId8"/>
    <sheet name="Reference" sheetId="6" r:id="rId9"/>
  </sheets>
  <externalReferences>
    <externalReference r:id="rId10"/>
  </externalReferences>
  <definedNames>
    <definedName name="_xlnm._FilterDatabase" localSheetId="0" hidden="1">BMW!$A$1:$M$101</definedName>
    <definedName name="already_paid" localSheetId="7">'[1]Swim Budget'!$A$44</definedName>
    <definedName name="already_paid">'Swim Budget'!$A$44</definedName>
    <definedName name="annual_budget" localSheetId="7">'[1]Swim Budget'!$A$43</definedName>
    <definedName name="annual_budget">'Swim Budget'!$A$43</definedName>
    <definedName name="bmw_account_balance" localSheetId="7">[1]BMW!$D$143</definedName>
    <definedName name="bmw_account_balance">BMW!$D$162</definedName>
    <definedName name="bmw_visa_balance" localSheetId="7">[1]BMW!$G$143</definedName>
    <definedName name="bmw_visa_balance">BMW!$G$162</definedName>
    <definedName name="christmas_account_balance" localSheetId="7">[1]Christmas!$D$25</definedName>
    <definedName name="christmas_account_balance">Christmas!$D$41</definedName>
    <definedName name="christmas_visa_balance" localSheetId="7">[1]Christmas!$G$25</definedName>
    <definedName name="christmas_visa_balance">Christmas!$G$41</definedName>
    <definedName name="clothing_account_balance" localSheetId="7">[1]Clothing!$D$41</definedName>
    <definedName name="clothing_account_balance">Clothing!$D$27</definedName>
    <definedName name="clothing_visa_balance" localSheetId="7">[1]Clothing!$J$41</definedName>
    <definedName name="clothing_visa_balance">Clothing!$J$27</definedName>
    <definedName name="family" localSheetId="7">[1]Reference!$A$2:$A$7</definedName>
    <definedName name="family">Reference!$A$2:$A$7</definedName>
    <definedName name="hotel_cost" localSheetId="7">'[1]Swim Budget'!$A$38</definedName>
    <definedName name="hotel_cost">'Swim Budget'!$A$38</definedName>
    <definedName name="installments_remain" localSheetId="7">'[1]Swim Budget'!$A$45</definedName>
    <definedName name="installments_remain">'Swim Budget'!$A$45</definedName>
    <definedName name="pets" localSheetId="7">[1]Reference!$C$2:$C$6</definedName>
    <definedName name="pets">Reference!$C$2:$C$6</definedName>
    <definedName name="pets_account_balance" localSheetId="7">[1]Pets!$D$46</definedName>
    <definedName name="pets_account_balance">Pets!$D$39</definedName>
    <definedName name="pets_visa_balance" localSheetId="7">[1]Pets!$G$46</definedName>
    <definedName name="pets_visa_balance">Pets!$G$39</definedName>
    <definedName name="swimming_account_balance" localSheetId="7">[1]Swimming!$D$44</definedName>
    <definedName name="swimming_account_balance">Swimming!$F$85</definedName>
    <definedName name="swimming_visa_balance" localSheetId="7">[1]Swimming!$G$44</definedName>
    <definedName name="swimming_visa_balance">Swimming!$K$85</definedName>
    <definedName name="US_training_camp" localSheetId="7">'[1]Swim Budget'!$F$48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A163" i="1" l="1"/>
  <c r="A79" i="2" l="1"/>
  <c r="K151" i="1"/>
  <c r="L151" i="1" s="1"/>
  <c r="G151" i="1"/>
  <c r="D151" i="1"/>
  <c r="H4" i="3"/>
  <c r="H7" i="3"/>
  <c r="H8" i="3"/>
  <c r="L35" i="5"/>
  <c r="G35" i="5"/>
  <c r="D35" i="5"/>
  <c r="L36" i="5"/>
  <c r="G36" i="5"/>
  <c r="D36" i="5"/>
  <c r="L34" i="5"/>
  <c r="G34" i="5"/>
  <c r="D34" i="5"/>
  <c r="L33" i="5"/>
  <c r="G33" i="5"/>
  <c r="D33" i="5"/>
  <c r="D37" i="5"/>
  <c r="G37" i="5"/>
  <c r="L37" i="5"/>
  <c r="D38" i="5"/>
  <c r="G38" i="5"/>
  <c r="L38" i="5"/>
  <c r="D39" i="5"/>
  <c r="G39" i="5"/>
  <c r="L39" i="5"/>
  <c r="D40" i="5"/>
  <c r="G40" i="5"/>
  <c r="L40" i="5"/>
  <c r="D41" i="5"/>
  <c r="G41" i="5"/>
  <c r="L155" i="1"/>
  <c r="K155" i="1"/>
  <c r="G155" i="1"/>
  <c r="D155" i="1"/>
  <c r="L154" i="1"/>
  <c r="K154" i="1"/>
  <c r="G154" i="1"/>
  <c r="D154" i="1"/>
  <c r="L153" i="1"/>
  <c r="K153" i="1"/>
  <c r="G153" i="1"/>
  <c r="D153" i="1"/>
  <c r="L152" i="1"/>
  <c r="K152" i="1"/>
  <c r="G152" i="1"/>
  <c r="D152" i="1"/>
  <c r="K150" i="1"/>
  <c r="L150" i="1" s="1"/>
  <c r="G150" i="1"/>
  <c r="D150" i="1"/>
  <c r="P84" i="2" l="1"/>
  <c r="O84" i="2"/>
  <c r="M84" i="2"/>
  <c r="K84" i="2"/>
  <c r="J84" i="2"/>
  <c r="H84" i="2"/>
  <c r="F84" i="2"/>
  <c r="E84" i="2"/>
  <c r="C84" i="2"/>
  <c r="P83" i="2"/>
  <c r="O83" i="2"/>
  <c r="M83" i="2"/>
  <c r="K83" i="2"/>
  <c r="J83" i="2"/>
  <c r="H83" i="2"/>
  <c r="F83" i="2"/>
  <c r="E83" i="2"/>
  <c r="C83" i="2"/>
  <c r="P82" i="2"/>
  <c r="O82" i="2"/>
  <c r="M82" i="2"/>
  <c r="K82" i="2"/>
  <c r="J82" i="2"/>
  <c r="H82" i="2"/>
  <c r="F82" i="2"/>
  <c r="E82" i="2"/>
  <c r="C82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O3" i="2"/>
  <c r="D142" i="1" l="1"/>
  <c r="G142" i="1"/>
  <c r="K142" i="1"/>
  <c r="L142" i="1" s="1"/>
  <c r="D143" i="1"/>
  <c r="G143" i="1"/>
  <c r="K143" i="1"/>
  <c r="L143" i="1" s="1"/>
  <c r="P76" i="2" l="1"/>
  <c r="K76" i="2"/>
  <c r="F76" i="2"/>
  <c r="P75" i="2"/>
  <c r="K75" i="2"/>
  <c r="F75" i="2"/>
  <c r="P74" i="2"/>
  <c r="K74" i="2"/>
  <c r="F74" i="2"/>
  <c r="P73" i="2"/>
  <c r="K73" i="2"/>
  <c r="F73" i="2"/>
  <c r="A44" i="4"/>
  <c r="P72" i="2"/>
  <c r="K72" i="2"/>
  <c r="F72" i="2"/>
  <c r="P71" i="2"/>
  <c r="K71" i="2"/>
  <c r="P70" i="2"/>
  <c r="K70" i="2"/>
  <c r="P69" i="2"/>
  <c r="K69" i="2"/>
  <c r="D147" i="1"/>
  <c r="G147" i="1"/>
  <c r="K147" i="1"/>
  <c r="L147" i="1" s="1"/>
  <c r="D148" i="1"/>
  <c r="G148" i="1"/>
  <c r="K148" i="1"/>
  <c r="L148" i="1" s="1"/>
  <c r="D149" i="1"/>
  <c r="G149" i="1"/>
  <c r="K149" i="1"/>
  <c r="L149" i="1" s="1"/>
  <c r="D156" i="1"/>
  <c r="G156" i="1"/>
  <c r="K156" i="1"/>
  <c r="L156" i="1"/>
  <c r="D157" i="1"/>
  <c r="G157" i="1"/>
  <c r="K157" i="1"/>
  <c r="L157" i="1"/>
  <c r="D158" i="1"/>
  <c r="G158" i="1"/>
  <c r="K158" i="1"/>
  <c r="L158" i="1"/>
  <c r="D159" i="1"/>
  <c r="G159" i="1"/>
  <c r="K159" i="1"/>
  <c r="L159" i="1"/>
  <c r="D160" i="1"/>
  <c r="G160" i="1"/>
  <c r="K160" i="1"/>
  <c r="L160" i="1"/>
  <c r="D161" i="1"/>
  <c r="G161" i="1"/>
  <c r="K161" i="1"/>
  <c r="L161" i="1"/>
  <c r="K146" i="1"/>
  <c r="L146" i="1" s="1"/>
  <c r="G146" i="1"/>
  <c r="D146" i="1"/>
  <c r="K145" i="1"/>
  <c r="L145" i="1" s="1"/>
  <c r="G145" i="1"/>
  <c r="D145" i="1"/>
  <c r="K144" i="1"/>
  <c r="L144" i="1" s="1"/>
  <c r="G144" i="1"/>
  <c r="D144" i="1"/>
  <c r="K140" i="1"/>
  <c r="L140" i="1" s="1"/>
  <c r="G140" i="1"/>
  <c r="D140" i="1"/>
  <c r="K136" i="1"/>
  <c r="L136" i="1" s="1"/>
  <c r="G136" i="1"/>
  <c r="D136" i="1"/>
  <c r="G2" i="3"/>
  <c r="G20" i="9" l="1"/>
  <c r="G22" i="9"/>
  <c r="F22" i="9"/>
  <c r="F20" i="9"/>
  <c r="D67" i="2"/>
  <c r="F69" i="2" l="1"/>
  <c r="F71" i="2"/>
  <c r="F70" i="2"/>
  <c r="L23" i="5"/>
  <c r="G23" i="5"/>
  <c r="D23" i="5"/>
  <c r="L24" i="5"/>
  <c r="G24" i="5"/>
  <c r="D24" i="5"/>
  <c r="F2" i="9"/>
  <c r="G2" i="9"/>
  <c r="G3" i="9"/>
  <c r="F3" i="9" s="1"/>
  <c r="F4" i="9"/>
  <c r="G4" i="9"/>
  <c r="G5" i="9"/>
  <c r="F5" i="9" s="1"/>
  <c r="F6" i="9"/>
  <c r="G6" i="9"/>
  <c r="G7" i="9"/>
  <c r="F8" i="9"/>
  <c r="G8" i="9"/>
  <c r="G9" i="9"/>
  <c r="F9" i="9" s="1"/>
  <c r="F10" i="9"/>
  <c r="G10" i="9"/>
  <c r="G11" i="9"/>
  <c r="F11" i="9" s="1"/>
  <c r="F12" i="9"/>
  <c r="G12" i="9"/>
  <c r="G13" i="9"/>
  <c r="F13" i="9" s="1"/>
  <c r="J13" i="9"/>
  <c r="K13" i="9" s="1"/>
  <c r="G14" i="9"/>
  <c r="F14" i="9" s="1"/>
  <c r="J14" i="9"/>
  <c r="K14" i="9"/>
  <c r="L14" i="9"/>
  <c r="J15" i="9"/>
  <c r="G15" i="9" s="1"/>
  <c r="F15" i="9" s="1"/>
  <c r="L15" i="9"/>
  <c r="J16" i="9"/>
  <c r="K16" i="9" s="1"/>
  <c r="J17" i="9"/>
  <c r="G17" i="9" s="1"/>
  <c r="F17" i="9" s="1"/>
  <c r="L17" i="9"/>
  <c r="F18" i="9"/>
  <c r="G18" i="9"/>
  <c r="F7" i="9" l="1"/>
  <c r="F21" i="9" s="1"/>
  <c r="G21" i="9"/>
  <c r="K17" i="9"/>
  <c r="K15" i="9"/>
  <c r="G16" i="9"/>
  <c r="F16" i="9" s="1"/>
  <c r="L13" i="9"/>
  <c r="L16" i="9"/>
  <c r="K117" i="1" l="1"/>
  <c r="L117" i="1" s="1"/>
  <c r="G117" i="1"/>
  <c r="D117" i="1"/>
  <c r="P60" i="2"/>
  <c r="K60" i="2"/>
  <c r="F60" i="2"/>
  <c r="P59" i="2"/>
  <c r="K59" i="2"/>
  <c r="F59" i="2"/>
  <c r="P58" i="2"/>
  <c r="K58" i="2"/>
  <c r="F58" i="2"/>
  <c r="P57" i="2"/>
  <c r="K57" i="2"/>
  <c r="F57" i="2"/>
  <c r="P64" i="2"/>
  <c r="K64" i="2"/>
  <c r="F64" i="2"/>
  <c r="P63" i="2"/>
  <c r="K63" i="2"/>
  <c r="F63" i="2"/>
  <c r="P62" i="2"/>
  <c r="K62" i="2"/>
  <c r="F62" i="2"/>
  <c r="P61" i="2"/>
  <c r="K61" i="2"/>
  <c r="F61" i="2"/>
  <c r="P79" i="2"/>
  <c r="K79" i="2"/>
  <c r="F79" i="2"/>
  <c r="L22" i="5"/>
  <c r="G22" i="5"/>
  <c r="D22" i="5"/>
  <c r="L21" i="5"/>
  <c r="G21" i="5"/>
  <c r="D21" i="5"/>
  <c r="L28" i="5"/>
  <c r="G28" i="5"/>
  <c r="D28" i="5"/>
  <c r="L27" i="5"/>
  <c r="G27" i="5"/>
  <c r="D27" i="5"/>
  <c r="L26" i="5"/>
  <c r="G26" i="5"/>
  <c r="D26" i="5"/>
  <c r="L25" i="5"/>
  <c r="G25" i="5"/>
  <c r="D25" i="5"/>
  <c r="L32" i="5"/>
  <c r="G32" i="5"/>
  <c r="D32" i="5"/>
  <c r="L31" i="5"/>
  <c r="G31" i="5"/>
  <c r="D31" i="5"/>
  <c r="L30" i="5"/>
  <c r="G30" i="5"/>
  <c r="D30" i="5"/>
  <c r="L29" i="5"/>
  <c r="G29" i="5"/>
  <c r="D29" i="5"/>
  <c r="K35" i="7"/>
  <c r="G35" i="7"/>
  <c r="D35" i="7"/>
  <c r="K34" i="7"/>
  <c r="G34" i="7"/>
  <c r="D34" i="7"/>
  <c r="K33" i="7"/>
  <c r="G33" i="7"/>
  <c r="D33" i="7"/>
  <c r="K32" i="7"/>
  <c r="G32" i="7"/>
  <c r="D32" i="7"/>
  <c r="K31" i="7"/>
  <c r="G31" i="7"/>
  <c r="D31" i="7"/>
  <c r="K30" i="7"/>
  <c r="G30" i="7"/>
  <c r="D30" i="7"/>
  <c r="K29" i="7"/>
  <c r="G29" i="7"/>
  <c r="D29" i="7"/>
  <c r="K24" i="7"/>
  <c r="G24" i="7"/>
  <c r="D24" i="7"/>
  <c r="K23" i="7"/>
  <c r="G23" i="7"/>
  <c r="D23" i="7"/>
  <c r="K22" i="7"/>
  <c r="G22" i="7"/>
  <c r="D22" i="7"/>
  <c r="K21" i="7"/>
  <c r="G21" i="7"/>
  <c r="D21" i="7"/>
  <c r="K19" i="7"/>
  <c r="G19" i="7"/>
  <c r="D19" i="7"/>
  <c r="K18" i="7"/>
  <c r="G18" i="7"/>
  <c r="D18" i="7"/>
  <c r="K17" i="7"/>
  <c r="G17" i="7"/>
  <c r="D17" i="7"/>
  <c r="K27" i="7"/>
  <c r="G27" i="7"/>
  <c r="D27" i="7"/>
  <c r="K26" i="7"/>
  <c r="G26" i="7"/>
  <c r="D26" i="7"/>
  <c r="K25" i="7"/>
  <c r="G25" i="7"/>
  <c r="D25" i="7"/>
  <c r="K20" i="7"/>
  <c r="G20" i="7"/>
  <c r="D20" i="7"/>
  <c r="D28" i="7"/>
  <c r="G28" i="7"/>
  <c r="K28" i="7"/>
  <c r="D36" i="7"/>
  <c r="G36" i="7"/>
  <c r="K36" i="7"/>
  <c r="D37" i="7"/>
  <c r="G37" i="7"/>
  <c r="K37" i="7"/>
  <c r="D38" i="7"/>
  <c r="G38" i="7"/>
  <c r="K38" i="7"/>
  <c r="P54" i="2"/>
  <c r="K54" i="2"/>
  <c r="F54" i="2"/>
  <c r="P44" i="2"/>
  <c r="K44" i="2"/>
  <c r="F44" i="2"/>
  <c r="P43" i="2"/>
  <c r="K43" i="2"/>
  <c r="F43" i="2"/>
  <c r="P42" i="2"/>
  <c r="K42" i="2"/>
  <c r="F42" i="2"/>
  <c r="P41" i="2"/>
  <c r="K41" i="2"/>
  <c r="F41" i="2"/>
  <c r="P37" i="2"/>
  <c r="K37" i="2"/>
  <c r="F37" i="2"/>
  <c r="P33" i="2"/>
  <c r="K33" i="2"/>
  <c r="F33" i="2"/>
  <c r="P32" i="2"/>
  <c r="K32" i="2"/>
  <c r="F32" i="2"/>
  <c r="P38" i="2"/>
  <c r="K38" i="2"/>
  <c r="F38" i="2"/>
  <c r="P56" i="2"/>
  <c r="K56" i="2"/>
  <c r="F56" i="2"/>
  <c r="P52" i="2"/>
  <c r="K52" i="2"/>
  <c r="F52" i="2"/>
  <c r="P51" i="2"/>
  <c r="K51" i="2"/>
  <c r="F51" i="2"/>
  <c r="P50" i="2"/>
  <c r="K50" i="2"/>
  <c r="F50" i="2"/>
  <c r="P49" i="2"/>
  <c r="K49" i="2"/>
  <c r="F49" i="2"/>
  <c r="P36" i="2"/>
  <c r="K36" i="2"/>
  <c r="F36" i="2"/>
  <c r="P35" i="2"/>
  <c r="K35" i="2"/>
  <c r="F35" i="2"/>
  <c r="P67" i="2"/>
  <c r="K67" i="2"/>
  <c r="F67" i="2"/>
  <c r="P66" i="2"/>
  <c r="K66" i="2"/>
  <c r="F66" i="2"/>
  <c r="P65" i="2"/>
  <c r="K65" i="2"/>
  <c r="F65" i="2"/>
  <c r="P40" i="2"/>
  <c r="K40" i="2"/>
  <c r="F40" i="2"/>
  <c r="G141" i="1"/>
  <c r="G139" i="1"/>
  <c r="G138" i="1"/>
  <c r="G137" i="1"/>
  <c r="G135" i="1"/>
  <c r="G134" i="1"/>
  <c r="G133" i="1"/>
  <c r="G130" i="1"/>
  <c r="G129" i="1"/>
  <c r="G132" i="1"/>
  <c r="G131" i="1"/>
  <c r="G128" i="1"/>
  <c r="G127" i="1"/>
  <c r="G126" i="1"/>
  <c r="G125" i="1"/>
  <c r="G124" i="1"/>
  <c r="G123" i="1"/>
  <c r="G122" i="1"/>
  <c r="G121" i="1"/>
  <c r="D141" i="1"/>
  <c r="D139" i="1"/>
  <c r="D138" i="1"/>
  <c r="D137" i="1"/>
  <c r="D135" i="1"/>
  <c r="D134" i="1"/>
  <c r="D133" i="1"/>
  <c r="D130" i="1"/>
  <c r="D129" i="1"/>
  <c r="D132" i="1"/>
  <c r="D131" i="1"/>
  <c r="D128" i="1"/>
  <c r="D127" i="1"/>
  <c r="D126" i="1"/>
  <c r="D125" i="1"/>
  <c r="D124" i="1"/>
  <c r="D123" i="1"/>
  <c r="D122" i="1"/>
  <c r="D121" i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31" i="1"/>
  <c r="L131" i="1" s="1"/>
  <c r="K132" i="1"/>
  <c r="L132" i="1" s="1"/>
  <c r="K129" i="1"/>
  <c r="L129" i="1" s="1"/>
  <c r="K130" i="1"/>
  <c r="L130" i="1" s="1"/>
  <c r="K133" i="1"/>
  <c r="L133" i="1" s="1"/>
  <c r="K134" i="1"/>
  <c r="L134" i="1" s="1"/>
  <c r="K135" i="1"/>
  <c r="L135" i="1" s="1"/>
  <c r="K137" i="1"/>
  <c r="L137" i="1" s="1"/>
  <c r="K138" i="1"/>
  <c r="L138" i="1" s="1"/>
  <c r="K139" i="1"/>
  <c r="L139" i="1" s="1"/>
  <c r="K141" i="1"/>
  <c r="L141" i="1" s="1"/>
  <c r="F17" i="2" l="1"/>
  <c r="K17" i="2"/>
  <c r="P17" i="2"/>
  <c r="D16" i="7"/>
  <c r="D14" i="7"/>
  <c r="D13" i="7"/>
  <c r="D12" i="7"/>
  <c r="D11" i="7"/>
  <c r="D10" i="7"/>
  <c r="D9" i="7"/>
  <c r="D8" i="7"/>
  <c r="D7" i="7"/>
  <c r="D6" i="7"/>
  <c r="D5" i="7"/>
  <c r="G16" i="7"/>
  <c r="G14" i="7"/>
  <c r="G13" i="7"/>
  <c r="G12" i="7"/>
  <c r="G11" i="7"/>
  <c r="G10" i="7"/>
  <c r="G9" i="7"/>
  <c r="G8" i="7"/>
  <c r="G7" i="7"/>
  <c r="G6" i="7"/>
  <c r="G5" i="7"/>
  <c r="A15" i="7"/>
  <c r="D15" i="7" s="1"/>
  <c r="A110" i="1"/>
  <c r="G15" i="7" l="1"/>
  <c r="A45" i="4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8" i="1"/>
  <c r="L118" i="1" s="1"/>
  <c r="K119" i="1"/>
  <c r="L119" i="1" s="1"/>
  <c r="K120" i="1"/>
  <c r="L120" i="1" s="1"/>
  <c r="K7" i="1"/>
  <c r="L7" i="1" s="1"/>
  <c r="K8" i="1"/>
  <c r="L8" i="1" s="1"/>
  <c r="K5" i="1"/>
  <c r="L5" i="1" s="1"/>
  <c r="K4" i="1"/>
  <c r="L4" i="1" s="1"/>
  <c r="K3" i="1"/>
  <c r="L3" i="1" s="1"/>
  <c r="K6" i="1"/>
  <c r="L6" i="1" s="1"/>
  <c r="L3" i="5"/>
  <c r="G39" i="7"/>
  <c r="E7" i="3" s="1"/>
  <c r="D39" i="7"/>
  <c r="D7" i="3" s="1"/>
  <c r="E8" i="3"/>
  <c r="D8" i="3"/>
  <c r="G162" i="1"/>
  <c r="D162" i="1"/>
  <c r="D5" i="3" s="1"/>
  <c r="P85" i="2"/>
  <c r="K85" i="2"/>
  <c r="E6" i="3" s="1"/>
  <c r="F85" i="2"/>
  <c r="D6" i="3" s="1"/>
  <c r="J27" i="8"/>
  <c r="E9" i="3" s="1"/>
  <c r="G27" i="8"/>
  <c r="D27" i="8"/>
  <c r="D9" i="3" s="1"/>
  <c r="H9" i="3" s="1"/>
  <c r="H6" i="3" l="1"/>
  <c r="E5" i="3"/>
  <c r="H5" i="3" s="1"/>
  <c r="S1" i="1"/>
  <c r="L20" i="5"/>
  <c r="L19" i="5"/>
  <c r="L18" i="5"/>
  <c r="L17" i="5"/>
  <c r="L16" i="5"/>
  <c r="L8" i="5"/>
  <c r="L13" i="5"/>
  <c r="L15" i="5"/>
  <c r="L14" i="5"/>
  <c r="L12" i="5"/>
  <c r="L11" i="5"/>
  <c r="L10" i="5"/>
  <c r="L9" i="5"/>
  <c r="L7" i="5"/>
  <c r="L6" i="5"/>
  <c r="L5" i="5"/>
  <c r="L4" i="5"/>
  <c r="G103" i="1"/>
  <c r="G104" i="1"/>
  <c r="D103" i="1"/>
  <c r="D104" i="1"/>
  <c r="A102" i="1" l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8" i="1"/>
  <c r="G118" i="1"/>
  <c r="D119" i="1"/>
  <c r="G119" i="1"/>
  <c r="D120" i="1"/>
  <c r="G120" i="1"/>
  <c r="G100" i="1"/>
  <c r="G105" i="1"/>
  <c r="D100" i="1"/>
  <c r="D105" i="1"/>
  <c r="A21" i="2"/>
  <c r="K102" i="1" l="1"/>
  <c r="L102" i="1" s="1"/>
  <c r="G102" i="1"/>
  <c r="D102" i="1"/>
  <c r="A15" i="2"/>
  <c r="K15" i="2" s="1"/>
  <c r="P25" i="2"/>
  <c r="P24" i="2"/>
  <c r="F22" i="2"/>
  <c r="K22" i="2"/>
  <c r="P22" i="2"/>
  <c r="F23" i="2"/>
  <c r="K23" i="2"/>
  <c r="P23" i="2"/>
  <c r="K24" i="2"/>
  <c r="F25" i="2"/>
  <c r="K25" i="2"/>
  <c r="F26" i="2"/>
  <c r="K26" i="2"/>
  <c r="P26" i="2"/>
  <c r="F27" i="2"/>
  <c r="K27" i="2"/>
  <c r="P27" i="2"/>
  <c r="F28" i="2"/>
  <c r="K28" i="2"/>
  <c r="P28" i="2"/>
  <c r="F29" i="2"/>
  <c r="K29" i="2"/>
  <c r="P29" i="2"/>
  <c r="F30" i="2"/>
  <c r="K30" i="2"/>
  <c r="P30" i="2"/>
  <c r="F31" i="2"/>
  <c r="K31" i="2"/>
  <c r="P31" i="2"/>
  <c r="F34" i="2"/>
  <c r="K34" i="2"/>
  <c r="P34" i="2"/>
  <c r="F39" i="2"/>
  <c r="K39" i="2"/>
  <c r="P39" i="2"/>
  <c r="F45" i="2"/>
  <c r="K45" i="2"/>
  <c r="P45" i="2"/>
  <c r="F46" i="2"/>
  <c r="K46" i="2"/>
  <c r="P46" i="2"/>
  <c r="F47" i="2"/>
  <c r="K47" i="2"/>
  <c r="P47" i="2"/>
  <c r="F48" i="2"/>
  <c r="K48" i="2"/>
  <c r="P48" i="2"/>
  <c r="F53" i="2"/>
  <c r="K53" i="2"/>
  <c r="P53" i="2"/>
  <c r="F55" i="2"/>
  <c r="K55" i="2"/>
  <c r="P55" i="2"/>
  <c r="F68" i="2"/>
  <c r="K68" i="2"/>
  <c r="P68" i="2"/>
  <c r="F77" i="2"/>
  <c r="K77" i="2"/>
  <c r="P77" i="2"/>
  <c r="F78" i="2"/>
  <c r="K78" i="2"/>
  <c r="P78" i="2"/>
  <c r="F80" i="2"/>
  <c r="K80" i="2"/>
  <c r="P80" i="2"/>
  <c r="P21" i="2"/>
  <c r="K21" i="2"/>
  <c r="F21" i="2"/>
  <c r="P15" i="2" l="1"/>
  <c r="A16" i="2"/>
  <c r="F15" i="2"/>
  <c r="F24" i="2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16" i="7"/>
  <c r="K15" i="7"/>
  <c r="K14" i="7"/>
  <c r="K13" i="7"/>
  <c r="K12" i="7"/>
  <c r="K11" i="7"/>
  <c r="K10" i="7"/>
  <c r="K9" i="7"/>
  <c r="K8" i="7"/>
  <c r="K7" i="7"/>
  <c r="K6" i="7"/>
  <c r="K4" i="7"/>
  <c r="G4" i="7"/>
  <c r="D4" i="7"/>
  <c r="K3" i="7"/>
  <c r="G3" i="7"/>
  <c r="D3" i="7"/>
  <c r="A13" i="3"/>
  <c r="D8" i="5"/>
  <c r="G8" i="5"/>
  <c r="D16" i="5"/>
  <c r="G16" i="5"/>
  <c r="D17" i="5"/>
  <c r="G17" i="5"/>
  <c r="D18" i="5"/>
  <c r="G18" i="5"/>
  <c r="D19" i="5"/>
  <c r="G19" i="5"/>
  <c r="D20" i="5"/>
  <c r="G20" i="5"/>
  <c r="G13" i="5"/>
  <c r="D13" i="5"/>
  <c r="G15" i="5"/>
  <c r="D15" i="5"/>
  <c r="G14" i="5"/>
  <c r="D14" i="5"/>
  <c r="G12" i="5"/>
  <c r="D12" i="5"/>
  <c r="G11" i="5"/>
  <c r="D11" i="5"/>
  <c r="G10" i="5"/>
  <c r="D10" i="5"/>
  <c r="G9" i="5"/>
  <c r="D9" i="5"/>
  <c r="G7" i="5"/>
  <c r="D7" i="5"/>
  <c r="D6" i="5"/>
  <c r="G6" i="5"/>
  <c r="G5" i="5"/>
  <c r="G4" i="5"/>
  <c r="G3" i="5"/>
  <c r="D3" i="5"/>
  <c r="K16" i="2" l="1"/>
  <c r="P16" i="2"/>
  <c r="F16" i="2"/>
  <c r="D5" i="5"/>
  <c r="D4" i="5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A10" i="4" s="1"/>
  <c r="A24" i="4" s="1"/>
  <c r="G18" i="4"/>
  <c r="F15" i="4"/>
  <c r="A32" i="4" s="1"/>
  <c r="A34" i="4" s="1"/>
  <c r="A38" i="4" s="1"/>
  <c r="F26" i="4"/>
  <c r="B25" i="4" s="1"/>
  <c r="I33" i="4"/>
  <c r="B10" i="4" l="1"/>
  <c r="B24" i="4" s="1"/>
  <c r="B11" i="4"/>
  <c r="E18" i="4"/>
  <c r="F18" i="4" s="1"/>
  <c r="A9" i="4" s="1"/>
  <c r="A23" i="4" s="1"/>
  <c r="A26" i="4" s="1"/>
  <c r="D94" i="1"/>
  <c r="G88" i="1"/>
  <c r="A12" i="4" l="1"/>
  <c r="P4" i="2"/>
  <c r="K4" i="2"/>
  <c r="F4" i="2"/>
  <c r="K20" i="2"/>
  <c r="K19" i="2"/>
  <c r="K18" i="2"/>
  <c r="K14" i="2"/>
  <c r="K13" i="2"/>
  <c r="K12" i="2"/>
  <c r="K11" i="2"/>
  <c r="K10" i="2"/>
  <c r="K9" i="2"/>
  <c r="K8" i="2"/>
  <c r="K7" i="2"/>
  <c r="K6" i="2"/>
  <c r="K5" i="2"/>
  <c r="K3" i="2"/>
  <c r="F5" i="2"/>
  <c r="F6" i="2"/>
  <c r="F7" i="2"/>
  <c r="P8" i="2"/>
  <c r="F9" i="2"/>
  <c r="F10" i="2"/>
  <c r="F11" i="2"/>
  <c r="P12" i="2"/>
  <c r="P13" i="2"/>
  <c r="P14" i="2"/>
  <c r="F18" i="2"/>
  <c r="P19" i="2"/>
  <c r="P20" i="2"/>
  <c r="F3" i="2"/>
  <c r="A43" i="4" l="1"/>
  <c r="F8" i="2"/>
  <c r="F19" i="2"/>
  <c r="F14" i="2"/>
  <c r="P10" i="2"/>
  <c r="P9" i="2"/>
  <c r="F13" i="2"/>
  <c r="P5" i="2"/>
  <c r="P6" i="2"/>
  <c r="F20" i="2"/>
  <c r="F12" i="2"/>
  <c r="P18" i="2"/>
  <c r="P7" i="2"/>
  <c r="P11" i="2"/>
  <c r="P3" i="2"/>
  <c r="M82" i="1"/>
  <c r="C50" i="4" l="1"/>
  <c r="C49" i="4"/>
  <c r="C51" i="4"/>
  <c r="C47" i="4"/>
  <c r="C46" i="4"/>
  <c r="C45" i="4"/>
  <c r="D75" i="1"/>
  <c r="G75" i="1"/>
  <c r="P2" i="1"/>
  <c r="S2" i="1" s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comments1.xml><?xml version="1.0" encoding="utf-8"?>
<comments xmlns="http://schemas.openxmlformats.org/spreadsheetml/2006/main">
  <authors>
    <author>Jamie Risk</author>
  </authors>
  <commentList>
    <comment ref="D162" authorId="0">
      <text>
        <r>
          <rPr>
            <b/>
            <sz val="9"/>
            <color indexed="81"/>
            <rFont val="Tahoma"/>
            <family val="2"/>
          </rPr>
          <t>Jamie Risk:</t>
        </r>
        <r>
          <rPr>
            <sz val="9"/>
            <color indexed="81"/>
            <rFont val="Tahoma"/>
            <family val="2"/>
          </rPr>
          <t xml:space="preserve">
Transfer to Credit Line $1152.08</t>
        </r>
      </text>
    </comment>
  </commentList>
</comments>
</file>

<file path=xl/comments2.xml><?xml version="1.0" encoding="utf-8"?>
<comments xmlns="http://schemas.openxmlformats.org/spreadsheetml/2006/main">
  <authors>
    <author>Jamie Risk</author>
  </authors>
  <commentList>
    <comment ref="D39" authorId="0">
      <text>
        <r>
          <rPr>
            <b/>
            <sz val="9"/>
            <color indexed="81"/>
            <rFont val="Tahoma"/>
            <family val="2"/>
          </rPr>
          <t>Jamie Risk:</t>
        </r>
        <r>
          <rPr>
            <sz val="9"/>
            <color indexed="81"/>
            <rFont val="Tahoma"/>
            <family val="2"/>
          </rPr>
          <t xml:space="preserve">
Transfer to Credit Line $29.80</t>
        </r>
      </text>
    </comment>
  </commentList>
</comments>
</file>

<file path=xl/sharedStrings.xml><?xml version="1.0" encoding="utf-8"?>
<sst xmlns="http://schemas.openxmlformats.org/spreadsheetml/2006/main" count="726" uniqueCount="248">
  <si>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</si>
  <si>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</si>
  <si>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</si>
  <si>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</si>
  <si>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</si>
  <si>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</si>
  <si>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</si>
  <si>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</si>
  <si>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</si>
  <si>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</si>
  <si>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</si>
  <si>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</si>
  <si>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</si>
  <si>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</si>
  <si>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</si>
  <si>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</si>
  <si>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</si>
  <si>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</si>
  <si>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</si>
  <si>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</si>
  <si>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</si>
  <si>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</si>
  <si>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</si>
  <si>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</si>
  <si>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</si>
  <si>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</si>
  <si>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</si>
  <si>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</si>
  <si>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</si>
  <si>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</si>
  <si>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</si>
  <si>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</si>
  <si>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</si>
  <si>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</si>
  <si>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</si>
  <si>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</si>
  <si>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</si>
  <si>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</si>
  <si>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</si>
  <si>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</si>
  <si>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</si>
  <si>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</si>
  <si>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</si>
  <si>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</si>
  <si>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</si>
  <si>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</si>
  <si>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</si>
  <si>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</si>
  <si>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</si>
  <si>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</si>
  <si>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</si>
  <si>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</si>
  <si>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</si>
  <si>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</si>
  <si>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</si>
  <si>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</si>
  <si>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</si>
  <si>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</si>
  <si>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</si>
  <si>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</si>
  <si>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</si>
  <si>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</si>
  <si>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</si>
  <si>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</si>
  <si>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</si>
  <si>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</si>
  <si>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</si>
  <si>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</si>
  <si>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</si>
  <si>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</si>
  <si>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</si>
  <si>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</si>
  <si>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</si>
  <si>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</si>
  <si>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</si>
  <si>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</si>
  <si>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</si>
  <si>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</si>
  <si>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</si>
  <si>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</si>
  <si>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</si>
  <si>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</si>
  <si>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</si>
  <si>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</si>
  <si>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</si>
  <si>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</si>
  <si>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</si>
  <si>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</si>
  <si>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</si>
  <si>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</si>
  <si>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</si>
  <si>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</si>
  <si>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</si>
  <si>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</si>
  <si>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</si>
  <si>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</si>
  <si>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</si>
  <si>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</si>
  <si>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</si>
  <si>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</si>
  <si>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</si>
  <si>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</si>
  <si>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</si>
  <si>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</si>
  <si>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</si>
  <si>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</si>
  <si>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</si>
  <si>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</si>
  <si>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</si>
  <si>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</si>
  <si>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</si>
  <si>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</si>
  <si>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</si>
  <si>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</si>
  <si>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</si>
  <si>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</si>
  <si>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</si>
  <si>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</si>
  <si>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</si>
  <si>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</si>
  <si>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</si>
  <si>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</si>
  <si>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</si>
  <si>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</si>
  <si>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</si>
  <si>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</si>
  <si>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</si>
  <si>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</si>
  <si>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</si>
  <si>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</si>
  <si>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</si>
  <si>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</si>
  <si>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</si>
  <si>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</si>
  <si>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</si>
  <si>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</si>
  <si>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</si>
  <si>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</si>
  <si>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</si>
  <si>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</si>
  <si>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</si>
  <si>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</si>
  <si>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</si>
  <si>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</si>
  <si>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</si>
  <si>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</si>
  <si>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</si>
  <si>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</si>
  <si>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</si>
  <si>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</si>
  <si>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</si>
  <si>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</si>
  <si>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</si>
  <si>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</si>
  <si>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</si>
  <si>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</si>
  <si>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Movie</t>
  </si>
  <si>
    <t>William &amp; Olivier</t>
  </si>
  <si>
    <t>Board games</t>
  </si>
  <si>
    <t>Refund</t>
  </si>
  <si>
    <t>Notes</t>
  </si>
  <si>
    <t>Yup.  Transferred twice.</t>
  </si>
  <si>
    <t>Approximate Payments Remaining</t>
  </si>
  <si>
    <t>Grooming</t>
  </si>
  <si>
    <t>Winter Jacket</t>
  </si>
  <si>
    <t>Cooler</t>
  </si>
  <si>
    <t>Bank Fee</t>
  </si>
  <si>
    <t>Interac transfer (Whoops)</t>
  </si>
  <si>
    <t>Electronic transaction.</t>
  </si>
  <si>
    <t>Remainder</t>
  </si>
  <si>
    <t>Line Total</t>
  </si>
  <si>
    <t>Line Total / 2 Weeks</t>
  </si>
  <si>
    <t>Balances</t>
  </si>
  <si>
    <t>Lug Nuts</t>
  </si>
  <si>
    <t>Swim Travel</t>
  </si>
  <si>
    <t>End of Month</t>
  </si>
  <si>
    <t>Beginning of Month</t>
  </si>
  <si>
    <t>Bai Du Korean BBQ</t>
  </si>
  <si>
    <t>??</t>
  </si>
  <si>
    <t>Hot Plate and cooler power supply</t>
  </si>
  <si>
    <t>Dinner : William</t>
  </si>
  <si>
    <t>Dinner : Olivier</t>
  </si>
  <si>
    <t>Dinner : Jamie</t>
  </si>
  <si>
    <t>Lodging</t>
  </si>
  <si>
    <t>CNMN Montreal North</t>
  </si>
  <si>
    <t>Meet Fees</t>
  </si>
  <si>
    <t>Camp</t>
  </si>
  <si>
    <t>Everyone</t>
  </si>
  <si>
    <t>USB Cables</t>
  </si>
  <si>
    <t>Expense</t>
  </si>
  <si>
    <t>Pointe-Claire: Food</t>
  </si>
  <si>
    <t>Should have been $22.24</t>
  </si>
  <si>
    <t>This should have been free!</t>
  </si>
  <si>
    <r>
      <t xml:space="preserve">Swim Travel (SEE </t>
    </r>
    <r>
      <rPr>
        <sz val="10"/>
        <color rgb="FFFF0000"/>
        <rFont val="Calibri"/>
        <family val="2"/>
        <scheme val="minor"/>
      </rPr>
      <t>Swimming</t>
    </r>
    <r>
      <rPr>
        <sz val="10"/>
        <color theme="1"/>
        <rFont val="Calibri"/>
        <family val="2"/>
        <scheme val="minor"/>
      </rPr>
      <t>)</t>
    </r>
  </si>
  <si>
    <r>
      <t xml:space="preserve">Gas (SEE </t>
    </r>
    <r>
      <rPr>
        <sz val="10"/>
        <color rgb="FF0070C0"/>
        <rFont val="Calibri"/>
        <family val="2"/>
        <scheme val="minor"/>
      </rPr>
      <t>BMW</t>
    </r>
    <r>
      <rPr>
        <sz val="10"/>
        <color theme="1"/>
        <rFont val="Calibri"/>
        <family val="2"/>
        <scheme val="minor"/>
      </rPr>
      <t>)</t>
    </r>
  </si>
  <si>
    <t>My Savings</t>
  </si>
  <si>
    <t>Joint</t>
  </si>
  <si>
    <t>1 Annum</t>
  </si>
  <si>
    <t>Health Insurance</t>
  </si>
  <si>
    <t>1 Month</t>
  </si>
  <si>
    <t xml:space="preserve">Property Taxes </t>
  </si>
  <si>
    <t>Water</t>
  </si>
  <si>
    <t>Enbridge</t>
  </si>
  <si>
    <t>Hydro Apartment</t>
  </si>
  <si>
    <t>Hydro House</t>
  </si>
  <si>
    <t>None</t>
  </si>
  <si>
    <t>2 Weeks</t>
  </si>
  <si>
    <t>Line of Credit</t>
  </si>
  <si>
    <t>Line of Credit - Interest</t>
  </si>
  <si>
    <t>Rent</t>
  </si>
  <si>
    <t>Monthly Banking Fee</t>
  </si>
  <si>
    <t>Mutal Funds</t>
  </si>
  <si>
    <t>Insurance 2</t>
  </si>
  <si>
    <t>Insurance 1</t>
  </si>
  <si>
    <t>Homeline</t>
  </si>
  <si>
    <t>Mortgage - Principal</t>
  </si>
  <si>
    <t>Mortgage</t>
  </si>
  <si>
    <t>Mary-Lou</t>
  </si>
  <si>
    <t>Dec</t>
  </si>
  <si>
    <t>Jan</t>
  </si>
  <si>
    <t>Feb</t>
  </si>
  <si>
    <t>March</t>
  </si>
  <si>
    <t>April</t>
  </si>
  <si>
    <t>May</t>
  </si>
  <si>
    <t>Jun</t>
  </si>
  <si>
    <t>Jul</t>
  </si>
  <si>
    <t>Aug</t>
  </si>
  <si>
    <t>Sep</t>
  </si>
  <si>
    <t>Oct</t>
  </si>
  <si>
    <t>Nov</t>
  </si>
  <si>
    <t>2 Week Average</t>
  </si>
  <si>
    <t>Monthly Average</t>
  </si>
  <si>
    <t>Annual</t>
  </si>
  <si>
    <t>Bi Weekly</t>
  </si>
  <si>
    <t>Current Visa</t>
  </si>
  <si>
    <t>Authorized</t>
  </si>
  <si>
    <t>Cube</t>
  </si>
  <si>
    <t>Pasta Pot</t>
  </si>
  <si>
    <t>Sweater</t>
  </si>
  <si>
    <t>Heater, Snow brush</t>
  </si>
  <si>
    <t>Reimbursed</t>
  </si>
  <si>
    <t>Correction</t>
  </si>
  <si>
    <t>Refund.</t>
  </si>
  <si>
    <t>Training</t>
  </si>
  <si>
    <t>Martha McCabe</t>
  </si>
  <si>
    <t>Olivier's gift to William</t>
  </si>
  <si>
    <t>?</t>
  </si>
  <si>
    <t>Credit/Debit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</si>
</sst>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7" formatCode="_(* #,##0_);_(* \(#,##0\);_(* &quot;-&quot;??_);_(@_)"/>
    <numFmt numFmtId="168" formatCode=";;;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8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ashed">
        <color auto="1"/>
      </top>
      <bottom style="thin">
        <color auto="1"/>
      </bottom>
      <diagonal/>
    </border>
    <border>
      <left/>
      <right style="dashed">
        <color auto="1"/>
      </right>
      <top style="dashed">
        <color auto="1"/>
      </top>
      <bottom style="thin">
        <color auto="1"/>
      </bottom>
      <diagonal/>
    </border>
    <border>
      <left style="thin">
        <color auto="1"/>
      </left>
      <right/>
      <top style="dashed">
        <color auto="1"/>
      </top>
      <bottom style="thin">
        <color auto="1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</cellStyleXfs>
  <cellXfs count="150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7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68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7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8" fontId="0" fillId="0" borderId="0" xfId="0" applyNumberFormat="1"/>
    <xf numFmtId="0" fontId="5" fillId="4" borderId="15" xfId="3" applyProtection="1"/>
    <xf numFmtId="164" fontId="0" fillId="2" borderId="0" xfId="1" applyFont="1" applyFill="1" applyBorder="1"/>
    <xf numFmtId="16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8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166" fontId="2" fillId="3" borderId="0" xfId="1" applyNumberFormat="1" applyFont="1" applyFill="1" applyBorder="1"/>
    <xf numFmtId="0" fontId="0" fillId="0" borderId="37" xfId="0" applyBorder="1"/>
    <xf numFmtId="0" fontId="12" fillId="0" borderId="37" xfId="0" applyFont="1" applyBorder="1"/>
    <xf numFmtId="0" fontId="12" fillId="0" borderId="38" xfId="0" applyFont="1" applyBorder="1"/>
    <xf numFmtId="166" fontId="12" fillId="3" borderId="39" xfId="1" applyNumberFormat="1" applyFont="1" applyFill="1" applyBorder="1"/>
    <xf numFmtId="164" fontId="0" fillId="0" borderId="0" xfId="1" applyFont="1" applyBorder="1"/>
    <xf numFmtId="166" fontId="2" fillId="2" borderId="30" xfId="1" applyNumberFormat="1" applyFont="1" applyFill="1" applyBorder="1"/>
    <xf numFmtId="166" fontId="2" fillId="2" borderId="0" xfId="1" applyNumberFormat="1" applyFont="1" applyFill="1" applyBorder="1"/>
    <xf numFmtId="166" fontId="2" fillId="2" borderId="11" xfId="1" applyNumberFormat="1" applyFont="1" applyFill="1" applyBorder="1"/>
    <xf numFmtId="0" fontId="0" fillId="0" borderId="0" xfId="0" applyAlignment="1">
      <alignment horizontal="center"/>
    </xf>
    <xf numFmtId="164" fontId="0" fillId="0" borderId="0" xfId="1" applyFont="1" applyFill="1" applyBorder="1"/>
    <xf numFmtId="164" fontId="0" fillId="0" borderId="0" xfId="0" applyNumberFormat="1"/>
    <xf numFmtId="14" fontId="0" fillId="0" borderId="0" xfId="0" applyNumberFormat="1"/>
    <xf numFmtId="165" fontId="0" fillId="0" borderId="37" xfId="0" applyNumberFormat="1" applyBorder="1"/>
    <xf numFmtId="0" fontId="0" fillId="0" borderId="40" xfId="0" applyBorder="1" applyAlignment="1">
      <alignment horizontal="center" vertical="center"/>
    </xf>
    <xf numFmtId="164" fontId="21" fillId="2" borderId="10" xfId="1" applyFont="1" applyFill="1" applyBorder="1"/>
    <xf numFmtId="164" fontId="21" fillId="3" borderId="10" xfId="1" applyFont="1" applyFill="1" applyBorder="1"/>
    <xf numFmtId="8" fontId="8" fillId="6" borderId="17" xfId="6" applyNumberFormat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24" xfId="0" applyFont="1" applyBorder="1" applyAlignment="1" applyProtection="1">
      <alignment horizontal="center"/>
    </xf>
    <xf numFmtId="0" fontId="9" fillId="0" borderId="23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8" borderId="0" xfId="0" applyFill="1" applyBorder="1" applyAlignment="1" applyProtection="1">
      <alignment horizontal="left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3">
    <dxf>
      <fill>
        <patternFill>
          <bgColor rgb="FF00B050"/>
        </patternFill>
      </fill>
    </dxf>
    <dxf>
      <fill>
        <patternFill patternType="gray125">
          <bgColor theme="0" tint="-0.14996795556505021"/>
        </patternFill>
      </fill>
    </dxf>
    <dxf>
      <fill>
        <gradientFill degree="45">
          <stop position="0">
            <color theme="0"/>
          </stop>
          <stop position="1">
            <color rgb="FF00B050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-keeping-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MW"/>
      <sheetName val="Swimming"/>
      <sheetName val="Clothing"/>
      <sheetName val="Pets"/>
      <sheetName val="Christmas"/>
      <sheetName val="Semi-Monthly Transfers"/>
      <sheetName val="Swim Budget"/>
      <sheetName val="Reference"/>
    </sheetNames>
    <sheetDataSet>
      <sheetData sheetId="0">
        <row r="143">
          <cell r="D143">
            <v>287.30999999999767</v>
          </cell>
          <cell r="G143">
            <v>-1830.2800000000007</v>
          </cell>
        </row>
      </sheetData>
      <sheetData sheetId="1">
        <row r="44">
          <cell r="D44">
            <v>939.949999999998</v>
          </cell>
          <cell r="G44">
            <v>0</v>
          </cell>
        </row>
      </sheetData>
      <sheetData sheetId="2">
        <row r="41">
          <cell r="D41">
            <v>74.109999999999985</v>
          </cell>
          <cell r="J41">
            <v>0</v>
          </cell>
        </row>
      </sheetData>
      <sheetData sheetId="3">
        <row r="46">
          <cell r="D46">
            <v>35.970000000000027</v>
          </cell>
          <cell r="G46">
            <v>-99.420000000000073</v>
          </cell>
        </row>
      </sheetData>
      <sheetData sheetId="4">
        <row r="25">
          <cell r="D25">
            <v>158</v>
          </cell>
          <cell r="G25">
            <v>0</v>
          </cell>
        </row>
      </sheetData>
      <sheetData sheetId="5" refreshError="1"/>
      <sheetData sheetId="6">
        <row r="38">
          <cell r="A38">
            <v>3150</v>
          </cell>
        </row>
        <row r="43">
          <cell r="A43">
            <v>21394.559999999998</v>
          </cell>
        </row>
        <row r="44">
          <cell r="A44">
            <v>7250</v>
          </cell>
        </row>
        <row r="45">
          <cell r="A45">
            <v>14</v>
          </cell>
        </row>
        <row r="48">
          <cell r="F48">
            <v>1900</v>
          </cell>
        </row>
      </sheetData>
      <sheetData sheetId="7">
        <row r="2">
          <cell r="A2" t="str">
            <v>Chantal</v>
          </cell>
          <cell r="C2" t="str">
            <v>Balu</v>
          </cell>
        </row>
        <row r="3">
          <cell r="A3" t="str">
            <v>Claire</v>
          </cell>
          <cell r="C3" t="str">
            <v>Cats</v>
          </cell>
        </row>
        <row r="4">
          <cell r="A4" t="str">
            <v>Mum &amp; Dad</v>
          </cell>
          <cell r="C4" t="str">
            <v>Biscuit</v>
          </cell>
        </row>
        <row r="5">
          <cell r="A5" t="str">
            <v>William &amp; Olivier</v>
          </cell>
          <cell r="C5" t="str">
            <v>Cocotte</v>
          </cell>
        </row>
        <row r="6">
          <cell r="A6" t="str">
            <v>Olivier</v>
          </cell>
          <cell r="C6" t="str">
            <v>Fish</v>
          </cell>
        </row>
        <row r="7">
          <cell r="A7" t="str">
            <v>William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F0"/>
  </sheetPr>
  <dimension ref="A1:T268"/>
  <sheetViews>
    <sheetView zoomScaleNormal="100" workbookViewId="0">
      <pane ySplit="930" topLeftCell="A129" activePane="bottomLeft"/>
      <selection activeCell="P2" sqref="P2"/>
      <selection pane="bottomLeft" activeCell="A152" sqref="A152"/>
    </sheetView>
  </sheetViews>
  <sheetFormatPr defaultColWidth="9.140625" defaultRowHeight="15" x14ac:dyDescent="0.25"/>
  <cols>
    <col min="1" max="1" width="30" style="18" bestFit="1" customWidth="1"/>
    <col min="2" max="3" width="14.5703125" style="18" bestFit="1" customWidth="1"/>
    <col min="4" max="4" width="12.42578125" style="18" customWidth="1"/>
    <col min="5" max="7" width="14.5703125" style="18" bestFit="1" customWidth="1"/>
    <col min="8" max="8" width="8.7109375" style="18" bestFit="1" customWidth="1"/>
    <col min="9" max="9" width="8.140625" style="18" bestFit="1" customWidth="1"/>
    <col min="10" max="10" width="15.42578125" style="18" bestFit="1" customWidth="1"/>
    <col min="11" max="12" width="15.42578125" style="18" customWidth="1"/>
    <col min="13" max="13" width="34.7109375" style="18" bestFit="1" customWidth="1"/>
    <col min="14" max="14" width="10.5703125" style="18" bestFit="1" customWidth="1"/>
    <col min="15" max="18" width="9.140625" style="18"/>
    <col min="19" max="19" width="10.5703125" style="18" bestFit="1" customWidth="1"/>
    <col min="20" max="16384" width="9.140625" style="18"/>
  </cols>
  <sheetData>
    <row r="1" spans="1:20" customFormat="1" x14ac:dyDescent="0.25">
      <c r="A1" s="120" t="s">
        <v>0</v>
      </c>
      <c r="B1" s="122" t="s">
        <v>1</v>
      </c>
      <c r="C1" s="123"/>
      <c r="D1" s="124"/>
      <c r="E1" s="122" t="s">
        <v>2</v>
      </c>
      <c r="F1" s="123"/>
      <c r="G1" s="124"/>
      <c r="H1" s="120" t="s">
        <v>130</v>
      </c>
      <c r="I1" s="120" t="s">
        <v>17</v>
      </c>
      <c r="J1" s="120" t="s">
        <v>19</v>
      </c>
      <c r="K1" s="120" t="s">
        <v>170</v>
      </c>
      <c r="L1" s="125" t="s">
        <v>171</v>
      </c>
      <c r="M1" s="120" t="s">
        <v>3</v>
      </c>
      <c r="N1" t="s">
        <v>14</v>
      </c>
      <c r="O1" s="26">
        <v>222.42</v>
      </c>
      <c r="P1" s="26"/>
      <c r="S1" s="28">
        <f>MIN(SUM(B$3:B161)-SUM(C$3:C161)-O1,-$G$162)</f>
        <v>-139.45000000000064</v>
      </c>
      <c r="T1" t="s">
        <v>175</v>
      </c>
    </row>
    <row r="2" spans="1:20" customFormat="1" x14ac:dyDescent="0.25">
      <c r="A2" s="121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21"/>
      <c r="I2" s="121"/>
      <c r="J2" s="121"/>
      <c r="K2" s="121"/>
      <c r="L2" s="126"/>
      <c r="M2" s="121"/>
      <c r="N2" t="s">
        <v>13</v>
      </c>
      <c r="O2" s="26">
        <v>82.97</v>
      </c>
      <c r="P2" s="27">
        <f>O2+O1</f>
        <v>305.39</v>
      </c>
      <c r="Q2" t="s">
        <v>55</v>
      </c>
      <c r="S2" s="28">
        <f>MIN(SUM(B$3:B161)-SUM(C$3:C161)-P2,-$G$162)</f>
        <v>-222.42000000000064</v>
      </c>
      <c r="T2" t="s">
        <v>176</v>
      </c>
    </row>
    <row r="3" spans="1:20" customFormat="1" ht="14.45" x14ac:dyDescent="0.35">
      <c r="A3" s="7">
        <v>42856</v>
      </c>
      <c r="B3" s="3">
        <v>1388.14</v>
      </c>
      <c r="C3" s="10"/>
      <c r="D3" s="12">
        <f>IF(NOT(ISBLANK($A3)),SUM(B$3:B3)-SUM(C$3:C3),"")</f>
        <v>1388.14</v>
      </c>
      <c r="E3" s="3"/>
      <c r="F3" s="10"/>
      <c r="G3" s="12">
        <f>IF(NOT(ISBLANK($A3)),SUM(E$3:E3)-SUM(F$3:F3),"")</f>
        <v>0</v>
      </c>
      <c r="H3" s="4"/>
      <c r="I3" s="14"/>
      <c r="J3" s="4" t="s">
        <v>9</v>
      </c>
      <c r="K3" s="108">
        <f>IF(NOT(ISBLANK(A3)),SUMIF($J$3:$J3,$J3,$B$3:$B3)-SUMIF($J$3:$J3,$J3,$C$3:$C3)+IF(J3&lt;&gt;"Transfer",SUMIF($J$3:$J3,$J3,$F$3:$F3)-SUMIF($J$3:$J3,$J3,$E$3:$E3),0),"")</f>
        <v>1388.14</v>
      </c>
      <c r="L3" s="109" t="str">
        <f>IF(NOT(ISBLANK(A3)),IFERROR(K3/ROUND((A3-$A$3)/14,0),""),"")</f>
        <v/>
      </c>
      <c r="M3" s="16" t="s">
        <v>6</v>
      </c>
    </row>
    <row r="4" spans="1:20" customFormat="1" ht="14.45" x14ac:dyDescent="0.35">
      <c r="A4" s="7">
        <v>42875</v>
      </c>
      <c r="B4" s="3"/>
      <c r="C4" s="10"/>
      <c r="D4" s="12">
        <f>IF(NOT(ISBLANK($A4)),SUM(B$3:B4)-SUM(C$3:C4),"")</f>
        <v>1388.14</v>
      </c>
      <c r="E4" s="3"/>
      <c r="F4" s="10">
        <v>1000</v>
      </c>
      <c r="G4" s="12">
        <f>IF(NOT(ISBLANK($A4)),SUM(E$3:E4)-SUM(F$3:F4),"")</f>
        <v>-1000</v>
      </c>
      <c r="H4" s="4" t="b">
        <v>1</v>
      </c>
      <c r="I4" s="14"/>
      <c r="J4" s="4" t="s">
        <v>14</v>
      </c>
      <c r="K4" s="109">
        <f>IF(NOT(ISBLANK(A4)),SUMIF($J$3:$J4,$J4,$B$3:$B4)-SUMIF($J$3:$J4,$J4,$C$3:$C4)+IF(J4&lt;&gt;"Transfer",SUMIF($J$3:$J4,$J4,$F$3:$F4)-SUMIF($J$3:$J4,$J4,$E$3:$E4),0),"")</f>
        <v>1000</v>
      </c>
      <c r="L4" s="109">
        <f t="shared" ref="L4:L67" si="0">IF(NOT(ISBLANK(A4)),IFERROR(K4/ROUND((A4-$A$3)/14,0),""),"")</f>
        <v>1000</v>
      </c>
      <c r="M4" s="16" t="s">
        <v>7</v>
      </c>
    </row>
    <row r="5" spans="1:20" customFormat="1" ht="14.45" x14ac:dyDescent="0.35">
      <c r="A5" s="7">
        <v>42877</v>
      </c>
      <c r="B5" s="3"/>
      <c r="C5" s="10"/>
      <c r="D5" s="12">
        <f>IF(NOT(ISBLANK($A5)),SUM(B$3:B5)-SUM(C$3:C5),"")</f>
        <v>1388.14</v>
      </c>
      <c r="E5" s="3"/>
      <c r="F5" s="10">
        <v>32.54</v>
      </c>
      <c r="G5" s="12">
        <f>IF(NOT(ISBLANK($A5)),SUM(E$3:E5)-SUM(F$3:F5),"")</f>
        <v>-1032.54</v>
      </c>
      <c r="H5" s="4"/>
      <c r="I5" s="14"/>
      <c r="J5" s="4" t="s">
        <v>10</v>
      </c>
      <c r="K5" s="109">
        <f>IF(NOT(ISBLANK(A5)),SUMIF($J$3:$J5,$J5,$B$3:$B5)-SUMIF($J$3:$J5,$J5,$C$3:$C5)+IF(J5&lt;&gt;"Transfer",SUMIF($J$3:$J5,$J5,$F$3:$F5)-SUMIF($J$3:$J5,$J5,$E$3:$E5),0),"")</f>
        <v>32.54</v>
      </c>
      <c r="L5" s="109">
        <f t="shared" si="0"/>
        <v>16.27</v>
      </c>
      <c r="M5" s="16" t="s">
        <v>20</v>
      </c>
    </row>
    <row r="6" spans="1:20" customFormat="1" ht="14.45" x14ac:dyDescent="0.35">
      <c r="A6" s="8">
        <v>42878</v>
      </c>
      <c r="B6" s="5"/>
      <c r="C6" s="11">
        <v>1000</v>
      </c>
      <c r="D6" s="13">
        <f>IF(NOT(ISBLANK($A6)),SUM(B$3:B6)-SUM(C$3:C6),"")</f>
        <v>388.1400000000001</v>
      </c>
      <c r="E6" s="5">
        <v>1000</v>
      </c>
      <c r="F6" s="11"/>
      <c r="G6" s="13">
        <f>IF(NOT(ISBLANK($A6)),SUM(E$3:E6)-SUM(F$3:F6),"")</f>
        <v>-32.539999999999964</v>
      </c>
      <c r="H6" s="6" t="b">
        <v>1</v>
      </c>
      <c r="I6" s="15"/>
      <c r="J6" s="6" t="s">
        <v>18</v>
      </c>
      <c r="K6" s="102">
        <f>IF(NOT(ISBLANK(A6)),SUMIF($J$3:$J6,$J6,$B$3:$B6)-SUMIF($J$3:$J6,$J6,$C$3:$C6)+IF(J6&lt;&gt;"Transfer",SUMIF($J$3:$J6,$J6,$F$3:$F6)-SUMIF($J$3:$J6,$J6,$E$3:$E6),0),"")</f>
        <v>-1000</v>
      </c>
      <c r="L6" s="102">
        <f t="shared" si="0"/>
        <v>-500</v>
      </c>
      <c r="M6" s="17" t="s">
        <v>7</v>
      </c>
    </row>
    <row r="7" spans="1:20" customFormat="1" ht="14.45" x14ac:dyDescent="0.35">
      <c r="A7" s="8">
        <v>42879</v>
      </c>
      <c r="B7" s="5"/>
      <c r="C7" s="11">
        <v>32.54</v>
      </c>
      <c r="D7" s="13">
        <f>IF(NOT(ISBLANK($A7)),SUM(B$3:B7)-SUM(C$3:C7),"")</f>
        <v>355.60000000000014</v>
      </c>
      <c r="E7" s="5"/>
      <c r="F7" s="11"/>
      <c r="G7" s="13">
        <f>IF(NOT(ISBLANK($A7)),SUM(E$3:E7)-SUM(F$3:F7),"")</f>
        <v>-32.539999999999964</v>
      </c>
      <c r="H7" s="6"/>
      <c r="I7" s="15"/>
      <c r="J7" s="6" t="s">
        <v>18</v>
      </c>
      <c r="K7" s="102">
        <f>IF(NOT(ISBLANK(A7)),SUMIF($J$3:$J7,$J7,$B$3:$B7)-SUMIF($J$3:$J7,$J7,$C$3:$C7)+IF(J7&lt;&gt;"Transfer",SUMIF($J$3:$J7,$J7,$F$3:$F7)-SUMIF($J$3:$J7,$J7,$E$3:$E7),0),"")</f>
        <v>-1032.54</v>
      </c>
      <c r="L7" s="102">
        <f t="shared" si="0"/>
        <v>-516.27</v>
      </c>
      <c r="M7" s="17" t="s">
        <v>20</v>
      </c>
    </row>
    <row r="8" spans="1:20" customFormat="1" ht="14.45" x14ac:dyDescent="0.35">
      <c r="A8" s="8">
        <v>42881</v>
      </c>
      <c r="B8" s="5"/>
      <c r="C8" s="11"/>
      <c r="D8" s="13">
        <f>IF(NOT(ISBLANK($A8)),SUM(B$3:B8)-SUM(C$3:C8),"")</f>
        <v>355.60000000000014</v>
      </c>
      <c r="E8" s="5"/>
      <c r="F8" s="11">
        <v>49.64</v>
      </c>
      <c r="G8" s="13">
        <f>IF(NOT(ISBLANK($A8)),SUM(E$3:E8)-SUM(F$3:F8),"")</f>
        <v>-82.180000000000064</v>
      </c>
      <c r="H8" s="6"/>
      <c r="I8" s="15"/>
      <c r="J8" s="6" t="s">
        <v>26</v>
      </c>
      <c r="K8" s="102">
        <f>IF(NOT(ISBLANK(A8)),SUMIF($J$3:$J8,$J8,$B$3:$B8)-SUMIF($J$3:$J8,$J8,$C$3:$C8)+IF(J8&lt;&gt;"Transfer",SUMIF($J$3:$J8,$J8,$F$3:$F8)-SUMIF($J$3:$J8,$J8,$E$3:$E8),0),"")</f>
        <v>49.64</v>
      </c>
      <c r="L8" s="102">
        <f t="shared" si="0"/>
        <v>24.82</v>
      </c>
      <c r="M8" s="17" t="s">
        <v>27</v>
      </c>
    </row>
    <row r="9" spans="1:20" customFormat="1" ht="14.45" x14ac:dyDescent="0.35">
      <c r="A9" s="7">
        <v>42870</v>
      </c>
      <c r="B9" s="3"/>
      <c r="C9" s="10"/>
      <c r="D9" s="12">
        <f>IF(NOT(ISBLANK($A9)),SUM(B$3:B9)-SUM(C$3:C9),"")</f>
        <v>355.60000000000014</v>
      </c>
      <c r="E9" s="3"/>
      <c r="F9" s="10">
        <v>3</v>
      </c>
      <c r="G9" s="12">
        <f>IF(NOT(ISBLANK($A9)),SUM(E$3:E9)-SUM(F$3:F9),"")</f>
        <v>-85.180000000000064</v>
      </c>
      <c r="H9" s="4"/>
      <c r="I9" s="14"/>
      <c r="J9" s="4" t="s">
        <v>28</v>
      </c>
      <c r="K9" s="109">
        <f>IF(NOT(ISBLANK(A9)),SUMIF($J$3:$J9,$J9,$B$3:$B9)-SUMIF($J$3:$J9,$J9,$C$3:$C9)+IF(J9&lt;&gt;"Transfer",SUMIF($J$3:$J9,$J9,$F$3:$F9)-SUMIF($J$3:$J9,$J9,$E$3:$E9),0),"")</f>
        <v>3</v>
      </c>
      <c r="L9" s="109">
        <f t="shared" si="0"/>
        <v>3</v>
      </c>
      <c r="M9" s="16"/>
    </row>
    <row r="10" spans="1:20" customFormat="1" ht="14.45" x14ac:dyDescent="0.35">
      <c r="A10" s="7">
        <v>42882</v>
      </c>
      <c r="B10" s="3"/>
      <c r="C10" s="10"/>
      <c r="D10" s="12">
        <f>IF(NOT(ISBLANK($A10)),SUM(B$3:B10)-SUM(C$3:C10),"")</f>
        <v>355.60000000000014</v>
      </c>
      <c r="E10" s="3"/>
      <c r="F10" s="10">
        <v>3</v>
      </c>
      <c r="G10" s="12">
        <f>IF(NOT(ISBLANK($A10)),SUM(E$3:E10)-SUM(F$3:F10),"")</f>
        <v>-88.180000000000064</v>
      </c>
      <c r="H10" s="4"/>
      <c r="I10" s="14"/>
      <c r="J10" s="4" t="s">
        <v>28</v>
      </c>
      <c r="K10" s="109">
        <f>IF(NOT(ISBLANK(A10)),SUMIF($J$3:$J10,$J10,$B$3:$B10)-SUMIF($J$3:$J10,$J10,$C$3:$C10)+IF(J10&lt;&gt;"Transfer",SUMIF($J$3:$J10,$J10,$F$3:$F10)-SUMIF($J$3:$J10,$J10,$E$3:$E10),0),"")</f>
        <v>6</v>
      </c>
      <c r="L10" s="109">
        <f t="shared" si="0"/>
        <v>3</v>
      </c>
      <c r="M10" s="16"/>
    </row>
    <row r="11" spans="1:20" customFormat="1" ht="14.45" x14ac:dyDescent="0.35">
      <c r="A11" s="7">
        <v>42882</v>
      </c>
      <c r="B11" s="3"/>
      <c r="C11" s="10"/>
      <c r="D11" s="12">
        <f>IF(NOT(ISBLANK($A11)),SUM(B$3:B11)-SUM(C$3:C11),"")</f>
        <v>355.60000000000014</v>
      </c>
      <c r="E11" s="3"/>
      <c r="F11" s="10">
        <v>4.5</v>
      </c>
      <c r="G11" s="12">
        <f>IF(NOT(ISBLANK($A11)),SUM(E$3:E11)-SUM(F$3:F11),"")</f>
        <v>-92.680000000000064</v>
      </c>
      <c r="H11" s="4"/>
      <c r="I11" s="14"/>
      <c r="J11" s="4" t="s">
        <v>28</v>
      </c>
      <c r="K11" s="109">
        <f>IF(NOT(ISBLANK(A11)),SUMIF($J$3:$J11,$J11,$B$3:$B11)-SUMIF($J$3:$J11,$J11,$C$3:$C11)+IF(J11&lt;&gt;"Transfer",SUMIF($J$3:$J11,$J11,$F$3:$F11)-SUMIF($J$3:$J11,$J11,$E$3:$E11),0),"")</f>
        <v>10.5</v>
      </c>
      <c r="L11" s="109">
        <f t="shared" si="0"/>
        <v>5.25</v>
      </c>
      <c r="M11" s="16"/>
    </row>
    <row r="12" spans="1:20" customFormat="1" ht="14.45" x14ac:dyDescent="0.35">
      <c r="A12" s="8">
        <v>42884</v>
      </c>
      <c r="B12" s="5"/>
      <c r="C12" s="11"/>
      <c r="D12" s="13">
        <f>IF(NOT(ISBLANK($A12)),SUM(B$3:B12)-SUM(C$3:C12),"")</f>
        <v>355.60000000000014</v>
      </c>
      <c r="E12" s="5"/>
      <c r="F12" s="11">
        <v>51.25</v>
      </c>
      <c r="G12" s="13">
        <f>IF(NOT(ISBLANK($A12)),SUM(E$3:E12)-SUM(F$3:F12),"")</f>
        <v>-143.93000000000006</v>
      </c>
      <c r="H12" s="6"/>
      <c r="I12" s="15"/>
      <c r="J12" s="6" t="s">
        <v>26</v>
      </c>
      <c r="K12" s="102">
        <f>IF(NOT(ISBLANK(A12)),SUMIF($J$3:$J12,$J12,$B$3:$B12)-SUMIF($J$3:$J12,$J12,$C$3:$C12)+IF(J12&lt;&gt;"Transfer",SUMIF($J$3:$J12,$J12,$F$3:$F12)-SUMIF($J$3:$J12,$J12,$E$3:$E12),0),"")</f>
        <v>100.89</v>
      </c>
      <c r="L12" s="102">
        <f t="shared" si="0"/>
        <v>50.445</v>
      </c>
      <c r="M12" s="17" t="s">
        <v>27</v>
      </c>
    </row>
    <row r="13" spans="1:20" customFormat="1" ht="14.45" x14ac:dyDescent="0.35">
      <c r="A13" s="8">
        <v>42884</v>
      </c>
      <c r="B13" s="5"/>
      <c r="C13" s="11"/>
      <c r="D13" s="13">
        <f>IF(NOT(ISBLANK($A13)),SUM(B$3:B13)-SUM(C$3:C13),"")</f>
        <v>355.60000000000014</v>
      </c>
      <c r="E13" s="5"/>
      <c r="F13" s="11">
        <v>50</v>
      </c>
      <c r="G13" s="13">
        <f>IF(NOT(ISBLANK($A13)),SUM(E$3:E13)-SUM(F$3:F13),"")</f>
        <v>-193.93000000000006</v>
      </c>
      <c r="H13" s="6"/>
      <c r="I13" s="15"/>
      <c r="J13" s="6" t="s">
        <v>10</v>
      </c>
      <c r="K13" s="102">
        <f>IF(NOT(ISBLANK(A13)),SUMIF($J$3:$J13,$J13,$B$3:$B13)-SUMIF($J$3:$J13,$J13,$C$3:$C13)+IF(J13&lt;&gt;"Transfer",SUMIF($J$3:$J13,$J13,$F$3:$F13)-SUMIF($J$3:$J13,$J13,$E$3:$E13),0),"")</f>
        <v>82.539999999999992</v>
      </c>
      <c r="L13" s="102">
        <f t="shared" si="0"/>
        <v>41.269999999999996</v>
      </c>
      <c r="M13" s="17" t="s">
        <v>27</v>
      </c>
    </row>
    <row r="14" spans="1:20" customFormat="1" ht="14.45" x14ac:dyDescent="0.35">
      <c r="A14" s="8">
        <v>42886</v>
      </c>
      <c r="B14" s="5"/>
      <c r="C14" s="11"/>
      <c r="D14" s="13">
        <f>IF(NOT(ISBLANK($A14)),SUM(B$3:B14)-SUM(C$3:C14),"")</f>
        <v>355.60000000000014</v>
      </c>
      <c r="E14" s="5"/>
      <c r="F14" s="11">
        <v>21.46</v>
      </c>
      <c r="G14" s="13">
        <f>IF(NOT(ISBLANK($A14)),SUM(E$3:E14)-SUM(F$3:F14),"")</f>
        <v>-215.3900000000001</v>
      </c>
      <c r="H14" s="6" t="b">
        <v>1</v>
      </c>
      <c r="I14" s="15"/>
      <c r="J14" s="6" t="s">
        <v>21</v>
      </c>
      <c r="K14" s="102">
        <f>IF(NOT(ISBLANK(A14)),SUMIF($J$3:$J14,$J14,$B$3:$B14)-SUMIF($J$3:$J14,$J14,$C$3:$C14)+IF(J14&lt;&gt;"Transfer",SUMIF($J$3:$J14,$J14,$F$3:$F14)-SUMIF($J$3:$J14,$J14,$E$3:$E14),0),"")</f>
        <v>21.46</v>
      </c>
      <c r="L14" s="102">
        <f t="shared" si="0"/>
        <v>10.73</v>
      </c>
      <c r="M14" s="17" t="s">
        <v>8</v>
      </c>
    </row>
    <row r="15" spans="1:20" customFormat="1" ht="14.45" x14ac:dyDescent="0.35">
      <c r="A15" s="7">
        <v>42886</v>
      </c>
      <c r="B15" s="3"/>
      <c r="C15" s="10">
        <v>21.46</v>
      </c>
      <c r="D15" s="12">
        <f>IF(NOT(ISBLANK($A15)),SUM(B$3:B15)-SUM(C$3:C15),"")</f>
        <v>334.1400000000001</v>
      </c>
      <c r="E15" s="3">
        <v>21.46</v>
      </c>
      <c r="F15" s="10"/>
      <c r="G15" s="12">
        <f>IF(NOT(ISBLANK($A15)),SUM(E$3:E15)-SUM(F$3:F15),"")</f>
        <v>-193.93000000000006</v>
      </c>
      <c r="H15" s="4"/>
      <c r="I15" s="14"/>
      <c r="J15" s="4" t="s">
        <v>18</v>
      </c>
      <c r="K15" s="109">
        <f>IF(NOT(ISBLANK(A15)),SUMIF($J$3:$J15,$J15,$B$3:$B15)-SUMIF($J$3:$J15,$J15,$C$3:$C15)+IF(J15&lt;&gt;"Transfer",SUMIF($J$3:$J15,$J15,$F$3:$F15)-SUMIF($J$3:$J15,$J15,$E$3:$E15),0),"")</f>
        <v>-1054</v>
      </c>
      <c r="L15" s="109">
        <f t="shared" si="0"/>
        <v>-527</v>
      </c>
      <c r="M15" s="16"/>
    </row>
    <row r="16" spans="1:20" customFormat="1" ht="14.45" x14ac:dyDescent="0.35">
      <c r="A16" s="7">
        <v>42887</v>
      </c>
      <c r="B16" s="3">
        <v>400</v>
      </c>
      <c r="C16" s="10"/>
      <c r="D16" s="12">
        <f>IF(NOT(ISBLANK($A16)),SUM(B$3:B16)-SUM(C$3:C16),"")</f>
        <v>734.1400000000001</v>
      </c>
      <c r="E16" s="3"/>
      <c r="F16" s="10"/>
      <c r="G16" s="12">
        <f>IF(NOT(ISBLANK($A16)),SUM(E$3:E16)-SUM(F$3:F16),"")</f>
        <v>-193.93000000000006</v>
      </c>
      <c r="H16" s="4"/>
      <c r="I16" s="14"/>
      <c r="J16" s="4" t="s">
        <v>9</v>
      </c>
      <c r="K16" s="109">
        <f>IF(NOT(ISBLANK(A16)),SUMIF($J$3:$J16,$J16,$B$3:$B16)-SUMIF($J$3:$J16,$J16,$C$3:$C16)+IF(J16&lt;&gt;"Transfer",SUMIF($J$3:$J16,$J16,$F$3:$F16)-SUMIF($J$3:$J16,$J16,$E$3:$E16),0),"")</f>
        <v>1788.14</v>
      </c>
      <c r="L16" s="109">
        <f t="shared" si="0"/>
        <v>894.07</v>
      </c>
      <c r="M16" s="16"/>
    </row>
    <row r="17" spans="1:13" customFormat="1" ht="14.45" x14ac:dyDescent="0.35">
      <c r="A17" s="7">
        <v>42887</v>
      </c>
      <c r="B17" s="3">
        <v>0.48</v>
      </c>
      <c r="C17" s="10"/>
      <c r="D17" s="12">
        <f>IF(NOT(ISBLANK($A17)),SUM(B$3:B17)-SUM(C$3:C17),"")</f>
        <v>734.62000000000012</v>
      </c>
      <c r="E17" s="3"/>
      <c r="F17" s="10"/>
      <c r="G17" s="12">
        <f>IF(NOT(ISBLANK($A17)),SUM(E$3:E17)-SUM(F$3:F17),"")</f>
        <v>-193.93000000000006</v>
      </c>
      <c r="H17" s="4"/>
      <c r="I17" s="14"/>
      <c r="J17" s="4" t="s">
        <v>9</v>
      </c>
      <c r="K17" s="109">
        <f>IF(NOT(ISBLANK(A17)),SUMIF($J$3:$J17,$J17,$B$3:$B17)-SUMIF($J$3:$J17,$J17,$C$3:$C17)+IF(J17&lt;&gt;"Transfer",SUMIF($J$3:$J17,$J17,$F$3:$F17)-SUMIF($J$3:$J17,$J17,$E$3:$E17),0),"")</f>
        <v>1788.6200000000001</v>
      </c>
      <c r="L17" s="109">
        <f t="shared" si="0"/>
        <v>894.31000000000006</v>
      </c>
      <c r="M17" s="16" t="s">
        <v>37</v>
      </c>
    </row>
    <row r="18" spans="1:13" customFormat="1" ht="14.45" x14ac:dyDescent="0.35">
      <c r="A18" s="8">
        <v>42892</v>
      </c>
      <c r="B18" s="5"/>
      <c r="C18" s="11"/>
      <c r="D18" s="13">
        <f>IF(NOT(ISBLANK($A18)),SUM(B$3:B18)-SUM(C$3:C18),"")</f>
        <v>734.62000000000012</v>
      </c>
      <c r="E18" s="5"/>
      <c r="F18" s="11">
        <v>74.010000000000005</v>
      </c>
      <c r="G18" s="13">
        <f>IF(NOT(ISBLANK($A18)),SUM(E$3:E18)-SUM(F$3:F18),"")</f>
        <v>-267.94000000000005</v>
      </c>
      <c r="H18" s="6" t="b">
        <v>1</v>
      </c>
      <c r="I18" s="15">
        <v>57989</v>
      </c>
      <c r="J18" s="6" t="s">
        <v>10</v>
      </c>
      <c r="K18" s="102">
        <f>IF(NOT(ISBLANK(A18)),SUMIF($J$3:$J18,$J18,$B$3:$B18)-SUMIF($J$3:$J18,$J18,$C$3:$C18)+IF(J18&lt;&gt;"Transfer",SUMIF($J$3:$J18,$J18,$F$3:$F18)-SUMIF($J$3:$J18,$J18,$E$3:$E18),0),"")</f>
        <v>156.55000000000001</v>
      </c>
      <c r="L18" s="102">
        <f t="shared" si="0"/>
        <v>52.183333333333337</v>
      </c>
      <c r="M18" s="17"/>
    </row>
    <row r="19" spans="1:13" customFormat="1" ht="14.45" x14ac:dyDescent="0.35">
      <c r="A19" s="8">
        <v>42892</v>
      </c>
      <c r="B19" s="5"/>
      <c r="C19" s="11">
        <v>74.010000000000005</v>
      </c>
      <c r="D19" s="13">
        <f>IF(NOT(ISBLANK($A19)),SUM(B$3:B19)-SUM(C$3:C19),"")</f>
        <v>660.61000000000013</v>
      </c>
      <c r="E19" s="5">
        <v>74.010000000000005</v>
      </c>
      <c r="F19" s="11"/>
      <c r="G19" s="13">
        <f>IF(NOT(ISBLANK($A19)),SUM(E$3:E19)-SUM(F$3:F19),"")</f>
        <v>-193.93000000000006</v>
      </c>
      <c r="H19" s="6"/>
      <c r="I19" s="15"/>
      <c r="J19" s="6"/>
      <c r="K19" s="102">
        <f>IF(NOT(ISBLANK(A19)),SUMIF($J$3:$J19,$J19,$B$3:$B19)-SUMIF($J$3:$J19,$J19,$C$3:$C19)+IF(J19&lt;&gt;"Transfer",SUMIF($J$3:$J19,$J19,$F$3:$F19)-SUMIF($J$3:$J19,$J19,$E$3:$E19),0),"")</f>
        <v>0</v>
      </c>
      <c r="L19" s="102">
        <f t="shared" si="0"/>
        <v>0</v>
      </c>
      <c r="M19" s="17"/>
    </row>
    <row r="20" spans="1:13" customFormat="1" ht="14.45" x14ac:dyDescent="0.35">
      <c r="A20" s="8">
        <v>42895</v>
      </c>
      <c r="B20" s="5"/>
      <c r="C20" s="11"/>
      <c r="D20" s="13">
        <f>IF(NOT(ISBLANK($A20)),SUM(B$3:B20)-SUM(C$3:C20),"")</f>
        <v>660.61000000000013</v>
      </c>
      <c r="E20" s="5"/>
      <c r="F20" s="11">
        <v>68</v>
      </c>
      <c r="G20" s="13">
        <f>IF(NOT(ISBLANK($A20)),SUM(E$3:E20)-SUM(F$3:F20),"")</f>
        <v>-261.93000000000006</v>
      </c>
      <c r="H20" s="6" t="b">
        <v>1</v>
      </c>
      <c r="I20" s="15"/>
      <c r="J20" s="6" t="s">
        <v>22</v>
      </c>
      <c r="K20" s="102">
        <f>IF(NOT(ISBLANK(A20)),SUMIF($J$3:$J20,$J20,$B$3:$B20)-SUMIF($J$3:$J20,$J20,$C$3:$C20)+IF(J20&lt;&gt;"Transfer",SUMIF($J$3:$J20,$J20,$F$3:$F20)-SUMIF($J$3:$J20,$J20,$E$3:$E20),0),"")</f>
        <v>68</v>
      </c>
      <c r="L20" s="102">
        <f t="shared" si="0"/>
        <v>22.666666666666668</v>
      </c>
      <c r="M20" s="17" t="s">
        <v>11</v>
      </c>
    </row>
    <row r="21" spans="1:13" customFormat="1" ht="14.45" x14ac:dyDescent="0.35">
      <c r="A21" s="7">
        <v>42898</v>
      </c>
      <c r="B21" s="3"/>
      <c r="C21" s="10">
        <v>68</v>
      </c>
      <c r="D21" s="12">
        <f>IF(NOT(ISBLANK($A21)),SUM(B$3:B21)-SUM(C$3:C21),"")</f>
        <v>592.61000000000013</v>
      </c>
      <c r="E21" s="3">
        <v>68</v>
      </c>
      <c r="F21" s="10"/>
      <c r="G21" s="12">
        <f>IF(NOT(ISBLANK($A21)),SUM(E$3:E21)-SUM(F$3:F21),"")</f>
        <v>-193.93000000000006</v>
      </c>
      <c r="H21" s="4"/>
      <c r="I21" s="14"/>
      <c r="J21" s="4" t="s">
        <v>18</v>
      </c>
      <c r="K21" s="109">
        <f>IF(NOT(ISBLANK(A21)),SUMIF($J$3:$J21,$J21,$B$3:$B21)-SUMIF($J$3:$J21,$J21,$C$3:$C21)+IF(J21&lt;&gt;"Transfer",SUMIF($J$3:$J21,$J21,$F$3:$F21)-SUMIF($J$3:$J21,$J21,$E$3:$E21),0),"")</f>
        <v>-1122</v>
      </c>
      <c r="L21" s="109">
        <f t="shared" si="0"/>
        <v>-374</v>
      </c>
      <c r="M21" s="16"/>
    </row>
    <row r="22" spans="1:13" customFormat="1" ht="14.45" x14ac:dyDescent="0.35">
      <c r="A22" s="7">
        <v>42900</v>
      </c>
      <c r="B22" s="3"/>
      <c r="C22" s="10">
        <v>2</v>
      </c>
      <c r="D22" s="12">
        <f>IF(NOT(ISBLANK($A22)),SUM(B$3:B22)-SUM(C$3:C22),"")</f>
        <v>590.61000000000013</v>
      </c>
      <c r="E22" s="3"/>
      <c r="F22" s="10"/>
      <c r="G22" s="12">
        <f>IF(NOT(ISBLANK($A22)),SUM(E$3:E22)-SUM(F$3:F22),"")</f>
        <v>-193.93000000000006</v>
      </c>
      <c r="H22" s="4"/>
      <c r="I22" s="14"/>
      <c r="J22" s="4" t="s">
        <v>23</v>
      </c>
      <c r="K22" s="109">
        <f>IF(NOT(ISBLANK(A22)),SUMIF($J$3:$J22,$J22,$B$3:$B22)-SUMIF($J$3:$J22,$J22,$C$3:$C22)+IF(J22&lt;&gt;"Transfer",SUMIF($J$3:$J22,$J22,$F$3:$F22)-SUMIF($J$3:$J22,$J22,$E$3:$E22),0),"")</f>
        <v>-2</v>
      </c>
      <c r="L22" s="109">
        <f t="shared" si="0"/>
        <v>-0.66666666666666663</v>
      </c>
      <c r="M22" s="16" t="s">
        <v>12</v>
      </c>
    </row>
    <row r="23" spans="1:13" customFormat="1" ht="14.45" x14ac:dyDescent="0.35">
      <c r="A23" s="7">
        <v>42900</v>
      </c>
      <c r="B23" s="3"/>
      <c r="C23" s="10">
        <v>79.64</v>
      </c>
      <c r="D23" s="12">
        <f>IF(NOT(ISBLANK($A23)),SUM(B$3:B23)-SUM(C$3:C23),"")</f>
        <v>510.97</v>
      </c>
      <c r="E23" s="3"/>
      <c r="F23" s="10"/>
      <c r="G23" s="12">
        <f>IF(NOT(ISBLANK($A23)),SUM(E$3:E23)-SUM(F$3:F23),"")</f>
        <v>-193.93000000000006</v>
      </c>
      <c r="H23" s="4" t="b">
        <v>1</v>
      </c>
      <c r="I23" s="14">
        <v>58503</v>
      </c>
      <c r="J23" s="4" t="s">
        <v>10</v>
      </c>
      <c r="K23" s="109">
        <f>IF(NOT(ISBLANK(A23)),SUMIF($J$3:$J23,$J23,$B$3:$B23)-SUMIF($J$3:$J23,$J23,$C$3:$C23)+IF(J23&lt;&gt;"Transfer",SUMIF($J$3:$J23,$J23,$F$3:$F23)-SUMIF($J$3:$J23,$J23,$E$3:$E23),0),"")</f>
        <v>76.910000000000011</v>
      </c>
      <c r="L23" s="109">
        <f t="shared" si="0"/>
        <v>25.63666666666667</v>
      </c>
      <c r="M23" s="16" t="s">
        <v>35</v>
      </c>
    </row>
    <row r="24" spans="1:13" customFormat="1" ht="14.45" x14ac:dyDescent="0.35">
      <c r="A24" s="8">
        <v>42900</v>
      </c>
      <c r="B24" s="5"/>
      <c r="C24" s="11">
        <v>82.97</v>
      </c>
      <c r="D24" s="13">
        <f>IF(NOT(ISBLANK($A24)),SUM(B$3:B24)-SUM(C$3:C24),"")</f>
        <v>428</v>
      </c>
      <c r="E24" s="5"/>
      <c r="F24" s="11"/>
      <c r="G24" s="13">
        <f>IF(NOT(ISBLANK($A24)),SUM(E$3:E24)-SUM(F$3:F24),"")</f>
        <v>-193.93000000000006</v>
      </c>
      <c r="H24" s="6"/>
      <c r="I24" s="15"/>
      <c r="J24" s="6" t="s">
        <v>13</v>
      </c>
      <c r="K24" s="102">
        <f>IF(NOT(ISBLANK(A24)),SUMIF($J$3:$J24,$J24,$B$3:$B24)-SUMIF($J$3:$J24,$J24,$C$3:$C24)+IF(J24&lt;&gt;"Transfer",SUMIF($J$3:$J24,$J24,$F$3:$F24)-SUMIF($J$3:$J24,$J24,$E$3:$E24),0),"")</f>
        <v>-82.97</v>
      </c>
      <c r="L24" s="102">
        <f t="shared" si="0"/>
        <v>-27.656666666666666</v>
      </c>
      <c r="M24" s="17"/>
    </row>
    <row r="25" spans="1:13" customFormat="1" ht="14.45" x14ac:dyDescent="0.35">
      <c r="A25" s="8">
        <v>42901</v>
      </c>
      <c r="B25" s="5"/>
      <c r="C25" s="11">
        <v>222.42</v>
      </c>
      <c r="D25" s="13">
        <f>IF(NOT(ISBLANK($A25)),SUM(B$3:B25)-SUM(C$3:C25),"")</f>
        <v>205.57999999999993</v>
      </c>
      <c r="E25" s="5"/>
      <c r="F25" s="11"/>
      <c r="G25" s="13">
        <f>IF(NOT(ISBLANK($A25)),SUM(E$3:E25)-SUM(F$3:F25),"")</f>
        <v>-193.93000000000006</v>
      </c>
      <c r="H25" s="6"/>
      <c r="I25" s="15"/>
      <c r="J25" s="6" t="s">
        <v>14</v>
      </c>
      <c r="K25" s="102">
        <f>IF(NOT(ISBLANK(A25)),SUMIF($J$3:$J25,$J25,$B$3:$B25)-SUMIF($J$3:$J25,$J25,$C$3:$C25)+IF(J25&lt;&gt;"Transfer",SUMIF($J$3:$J25,$J25,$F$3:$F25)-SUMIF($J$3:$J25,$J25,$E$3:$E25),0),"")</f>
        <v>777.58</v>
      </c>
      <c r="L25" s="102">
        <f t="shared" si="0"/>
        <v>259.19333333333333</v>
      </c>
      <c r="M25" s="17"/>
    </row>
    <row r="26" spans="1:13" customFormat="1" ht="14.45" x14ac:dyDescent="0.35">
      <c r="A26" s="8">
        <v>42901</v>
      </c>
      <c r="B26" s="5"/>
      <c r="C26" s="11">
        <v>5</v>
      </c>
      <c r="D26" s="13">
        <f>IF(NOT(ISBLANK($A26)),SUM(B$3:B26)-SUM(C$3:C26),"")</f>
        <v>200.57999999999993</v>
      </c>
      <c r="E26" s="5"/>
      <c r="F26" s="11"/>
      <c r="G26" s="13">
        <f>IF(NOT(ISBLANK($A26)),SUM(E$3:E26)-SUM(F$3:F26),"")</f>
        <v>-193.93000000000006</v>
      </c>
      <c r="H26" s="6"/>
      <c r="I26" s="15"/>
      <c r="J26" s="6" t="s">
        <v>15</v>
      </c>
      <c r="K26" s="102">
        <f>IF(NOT(ISBLANK(A26)),SUMIF($J$3:$J26,$J26,$B$3:$B26)-SUMIF($J$3:$J26,$J26,$C$3:$C26)+IF(J26&lt;&gt;"Transfer",SUMIF($J$3:$J26,$J26,$F$3:$F26)-SUMIF($J$3:$J26,$J26,$E$3:$E26),0),"")</f>
        <v>-5</v>
      </c>
      <c r="L26" s="102">
        <f t="shared" si="0"/>
        <v>-1.6666666666666667</v>
      </c>
      <c r="M26" s="17"/>
    </row>
    <row r="27" spans="1:13" customFormat="1" ht="14.45" x14ac:dyDescent="0.35">
      <c r="A27" s="7">
        <v>42902</v>
      </c>
      <c r="B27" s="3">
        <v>400</v>
      </c>
      <c r="C27" s="10"/>
      <c r="D27" s="12">
        <f>IF(NOT(ISBLANK($A27)),SUM(B$3:B27)-SUM(C$3:C27),"")</f>
        <v>600.5799999999997</v>
      </c>
      <c r="E27" s="3"/>
      <c r="F27" s="10"/>
      <c r="G27" s="12">
        <f>IF(NOT(ISBLANK($A27)),SUM(E$3:E27)-SUM(F$3:F27),"")</f>
        <v>-193.93000000000006</v>
      </c>
      <c r="H27" s="4"/>
      <c r="I27" s="14"/>
      <c r="J27" s="4" t="s">
        <v>9</v>
      </c>
      <c r="K27" s="109">
        <f>IF(NOT(ISBLANK(A27)),SUMIF($J$3:$J27,$J27,$B$3:$B27)-SUMIF($J$3:$J27,$J27,$C$3:$C27)+IF(J27&lt;&gt;"Transfer",SUMIF($J$3:$J27,$J27,$F$3:$F27)-SUMIF($J$3:$J27,$J27,$E$3:$E27),0),"")</f>
        <v>2188.62</v>
      </c>
      <c r="L27" s="109">
        <f t="shared" si="0"/>
        <v>729.54</v>
      </c>
      <c r="M27" s="16"/>
    </row>
    <row r="28" spans="1:13" customFormat="1" ht="14.45" x14ac:dyDescent="0.35">
      <c r="A28" s="7">
        <v>42906</v>
      </c>
      <c r="B28" s="3"/>
      <c r="C28" s="10"/>
      <c r="D28" s="12">
        <f>IF(NOT(ISBLANK($A28)),SUM(B$3:B28)-SUM(C$3:C28),"")</f>
        <v>600.5799999999997</v>
      </c>
      <c r="E28" s="3"/>
      <c r="F28" s="10">
        <v>103.45</v>
      </c>
      <c r="G28" s="12">
        <f>IF(NOT(ISBLANK($A28)),SUM(E$3:E28)-SUM(F$3:F28),"")</f>
        <v>-297.38000000000011</v>
      </c>
      <c r="H28" s="4" t="b">
        <v>1</v>
      </c>
      <c r="I28" s="14"/>
      <c r="J28" s="4" t="s">
        <v>42</v>
      </c>
      <c r="K28" s="109">
        <f>IF(NOT(ISBLANK(A28)),SUMIF($J$3:$J28,$J28,$B$3:$B28)-SUMIF($J$3:$J28,$J28,$C$3:$C28)+IF(J28&lt;&gt;"Transfer",SUMIF($J$3:$J28,$J28,$F$3:$F28)-SUMIF($J$3:$J28,$J28,$E$3:$E28),0),"")</f>
        <v>103.45</v>
      </c>
      <c r="L28" s="109">
        <f t="shared" si="0"/>
        <v>25.862500000000001</v>
      </c>
      <c r="M28" s="16" t="s">
        <v>16</v>
      </c>
    </row>
    <row r="29" spans="1:13" customFormat="1" ht="14.45" x14ac:dyDescent="0.35">
      <c r="A29" s="7">
        <v>42906</v>
      </c>
      <c r="B29" s="3"/>
      <c r="C29" s="10">
        <v>103.45</v>
      </c>
      <c r="D29" s="12">
        <f>IF(NOT(ISBLANK($A29)),SUM(B$3:B29)-SUM(C$3:C29),"")</f>
        <v>497.12999999999965</v>
      </c>
      <c r="E29" s="3">
        <v>103.45</v>
      </c>
      <c r="F29" s="10"/>
      <c r="G29" s="12">
        <f>IF(NOT(ISBLANK($A29)),SUM(E$3:E29)-SUM(F$3:F29),"")</f>
        <v>-193.93000000000006</v>
      </c>
      <c r="H29" s="4"/>
      <c r="I29" s="14"/>
      <c r="J29" s="4" t="s">
        <v>18</v>
      </c>
      <c r="K29" s="109">
        <f>IF(NOT(ISBLANK(A29)),SUMIF($J$3:$J29,$J29,$B$3:$B29)-SUMIF($J$3:$J29,$J29,$C$3:$C29)+IF(J29&lt;&gt;"Transfer",SUMIF($J$3:$J29,$J29,$F$3:$F29)-SUMIF($J$3:$J29,$J29,$E$3:$E29),0),"")</f>
        <v>-1225.45</v>
      </c>
      <c r="L29" s="109">
        <f t="shared" si="0"/>
        <v>-306.36250000000001</v>
      </c>
      <c r="M29" s="16"/>
    </row>
    <row r="30" spans="1:13" customFormat="1" ht="14.45" x14ac:dyDescent="0.35">
      <c r="A30" s="8">
        <v>42908</v>
      </c>
      <c r="B30" s="5"/>
      <c r="C30" s="11"/>
      <c r="D30" s="13">
        <f>IF(NOT(ISBLANK($A30)),SUM(B$3:B30)-SUM(C$3:C30),"")</f>
        <v>497.12999999999965</v>
      </c>
      <c r="E30" s="5"/>
      <c r="F30" s="11">
        <v>51.51</v>
      </c>
      <c r="G30" s="13">
        <f>IF(NOT(ISBLANK($A30)),SUM(E$3:E30)-SUM(F$3:F30),"")</f>
        <v>-245.44000000000005</v>
      </c>
      <c r="H30" s="6" t="b">
        <v>1</v>
      </c>
      <c r="I30" s="15">
        <v>58926</v>
      </c>
      <c r="J30" s="6" t="s">
        <v>10</v>
      </c>
      <c r="K30" s="102">
        <f>IF(NOT(ISBLANK(A30)),SUMIF($J$3:$J30,$J30,$B$3:$B30)-SUMIF($J$3:$J30,$J30,$C$3:$C30)+IF(J30&lt;&gt;"Transfer",SUMIF($J$3:$J30,$J30,$F$3:$F30)-SUMIF($J$3:$J30,$J30,$E$3:$E30),0),"")</f>
        <v>128.42000000000002</v>
      </c>
      <c r="L30" s="102">
        <f t="shared" si="0"/>
        <v>32.105000000000004</v>
      </c>
      <c r="M30" s="17"/>
    </row>
    <row r="31" spans="1:13" customFormat="1" ht="14.45" x14ac:dyDescent="0.35">
      <c r="A31" s="8">
        <v>42909</v>
      </c>
      <c r="B31" s="5"/>
      <c r="C31" s="11">
        <v>51.51</v>
      </c>
      <c r="D31" s="13">
        <f>IF(NOT(ISBLANK($A31)),SUM(B$3:B31)-SUM(C$3:C31),"")</f>
        <v>445.61999999999966</v>
      </c>
      <c r="E31" s="5">
        <v>51.51</v>
      </c>
      <c r="F31" s="11"/>
      <c r="G31" s="13">
        <f>IF(NOT(ISBLANK($A31)),SUM(E$3:E31)-SUM(F$3:F31),"")</f>
        <v>-193.93000000000006</v>
      </c>
      <c r="H31" s="6"/>
      <c r="I31" s="15"/>
      <c r="J31" s="6" t="s">
        <v>18</v>
      </c>
      <c r="K31" s="102">
        <f>IF(NOT(ISBLANK(A31)),SUMIF($J$3:$J31,$J31,$B$3:$B31)-SUMIF($J$3:$J31,$J31,$C$3:$C31)+IF(J31&lt;&gt;"Transfer",SUMIF($J$3:$J31,$J31,$F$3:$F31)-SUMIF($J$3:$J31,$J31,$E$3:$E31),0),"")</f>
        <v>-1276.96</v>
      </c>
      <c r="L31" s="102">
        <f t="shared" si="0"/>
        <v>-319.24</v>
      </c>
      <c r="M31" s="17" t="s">
        <v>10</v>
      </c>
    </row>
    <row r="32" spans="1:13" customFormat="1" ht="14.45" x14ac:dyDescent="0.35">
      <c r="A32" s="8">
        <v>42909</v>
      </c>
      <c r="B32" s="5"/>
      <c r="C32" s="11"/>
      <c r="D32" s="13">
        <f>IF(NOT(ISBLANK($A32)),SUM(B$3:B32)-SUM(C$3:C32),"")</f>
        <v>445.61999999999966</v>
      </c>
      <c r="E32" s="5"/>
      <c r="F32" s="11">
        <v>311.88</v>
      </c>
      <c r="G32" s="13">
        <f>IF(NOT(ISBLANK($A32)),SUM(E$3:E32)-SUM(F$3:F32),"")</f>
        <v>-505.81000000000017</v>
      </c>
      <c r="H32" s="6" t="b">
        <v>1</v>
      </c>
      <c r="I32" s="15">
        <v>58988</v>
      </c>
      <c r="J32" s="6" t="s">
        <v>29</v>
      </c>
      <c r="K32" s="102">
        <f>IF(NOT(ISBLANK(A32)),SUMIF($J$3:$J32,$J32,$B$3:$B32)-SUMIF($J$3:$J32,$J32,$C$3:$C32)+IF(J32&lt;&gt;"Transfer",SUMIF($J$3:$J32,$J32,$F$3:$F32)-SUMIF($J$3:$J32,$J32,$E$3:$E32),0),"")</f>
        <v>311.88</v>
      </c>
      <c r="L32" s="102">
        <f t="shared" si="0"/>
        <v>77.97</v>
      </c>
      <c r="M32" s="17" t="s">
        <v>30</v>
      </c>
    </row>
    <row r="33" spans="1:13" customFormat="1" ht="14.45" x14ac:dyDescent="0.35">
      <c r="A33" s="7">
        <v>42915</v>
      </c>
      <c r="B33" s="3"/>
      <c r="C33" s="10">
        <v>222.42</v>
      </c>
      <c r="D33" s="12">
        <f>IF(NOT(ISBLANK($A33)),SUM(B$3:B33)-SUM(C$3:C33),"")</f>
        <v>223.19999999999959</v>
      </c>
      <c r="E33" s="3"/>
      <c r="F33" s="10"/>
      <c r="G33" s="12">
        <f>IF(NOT(ISBLANK($A33)),SUM(E$3:E33)-SUM(F$3:F33),"")</f>
        <v>-505.81000000000017</v>
      </c>
      <c r="H33" s="4"/>
      <c r="I33" s="14"/>
      <c r="J33" s="4" t="s">
        <v>14</v>
      </c>
      <c r="K33" s="109">
        <f>IF(NOT(ISBLANK(A33)),SUMIF($J$3:$J33,$J33,$B$3:$B33)-SUMIF($J$3:$J33,$J33,$C$3:$C33)+IF(J33&lt;&gt;"Transfer",SUMIF($J$3:$J33,$J33,$F$3:$F33)-SUMIF($J$3:$J33,$J33,$E$3:$E33),0),"")</f>
        <v>555.16000000000008</v>
      </c>
      <c r="L33" s="109">
        <f t="shared" si="0"/>
        <v>138.79000000000002</v>
      </c>
      <c r="M33" s="16"/>
    </row>
    <row r="34" spans="1:13" customFormat="1" ht="14.45" x14ac:dyDescent="0.35">
      <c r="A34" s="7">
        <v>42915</v>
      </c>
      <c r="B34" s="3"/>
      <c r="C34" s="10">
        <v>5</v>
      </c>
      <c r="D34" s="12">
        <f>IF(NOT(ISBLANK($A34)),SUM(B$3:B34)-SUM(C$3:C34),"")</f>
        <v>218.19999999999959</v>
      </c>
      <c r="E34" s="3"/>
      <c r="F34" s="10"/>
      <c r="G34" s="12">
        <f>IF(NOT(ISBLANK($A34)),SUM(E$3:E34)-SUM(F$3:F34),"")</f>
        <v>-505.81000000000017</v>
      </c>
      <c r="H34" s="4"/>
      <c r="I34" s="14"/>
      <c r="J34" s="4" t="s">
        <v>15</v>
      </c>
      <c r="K34" s="109">
        <f>IF(NOT(ISBLANK(A34)),SUMIF($J$3:$J34,$J34,$B$3:$B34)-SUMIF($J$3:$J34,$J34,$C$3:$C34)+IF(J34&lt;&gt;"Transfer",SUMIF($J$3:$J34,$J34,$F$3:$F34)-SUMIF($J$3:$J34,$J34,$E$3:$E34),0),"")</f>
        <v>-10</v>
      </c>
      <c r="L34" s="109">
        <f t="shared" si="0"/>
        <v>-2.5</v>
      </c>
      <c r="M34" s="16"/>
    </row>
    <row r="35" spans="1:13" customFormat="1" ht="14.45" x14ac:dyDescent="0.35">
      <c r="A35" s="7">
        <v>42920</v>
      </c>
      <c r="B35" s="3">
        <v>400</v>
      </c>
      <c r="C35" s="10"/>
      <c r="D35" s="12">
        <f>IF(NOT(ISBLANK($A35)),SUM(B$3:B35)-SUM(C$3:C35),"")</f>
        <v>618.19999999999959</v>
      </c>
      <c r="E35" s="3"/>
      <c r="F35" s="10"/>
      <c r="G35" s="12">
        <f>IF(NOT(ISBLANK($A35)),SUM(E$3:E35)-SUM(F$3:F35),"")</f>
        <v>-505.81000000000017</v>
      </c>
      <c r="H35" s="4"/>
      <c r="I35" s="14"/>
      <c r="J35" s="4" t="s">
        <v>9</v>
      </c>
      <c r="K35" s="109">
        <f>IF(NOT(ISBLANK(A35)),SUMIF($J$3:$J35,$J35,$B$3:$B35)-SUMIF($J$3:$J35,$J35,$C$3:$C35)+IF(J35&lt;&gt;"Transfer",SUMIF($J$3:$J35,$J35,$F$3:$F35)-SUMIF($J$3:$J35,$J35,$E$3:$E35),0),"")</f>
        <v>2588.62</v>
      </c>
      <c r="L35" s="109">
        <f t="shared" si="0"/>
        <v>517.72399999999993</v>
      </c>
      <c r="M35" s="16"/>
    </row>
    <row r="36" spans="1:13" customFormat="1" ht="14.45" x14ac:dyDescent="0.35">
      <c r="A36" s="8">
        <v>42920</v>
      </c>
      <c r="B36" s="5">
        <v>0.22</v>
      </c>
      <c r="C36" s="11"/>
      <c r="D36" s="13">
        <f>IF(NOT(ISBLANK($A36)),SUM(B$3:B36)-SUM(C$3:C36),"")</f>
        <v>618.41999999999939</v>
      </c>
      <c r="E36" s="5"/>
      <c r="F36" s="11"/>
      <c r="G36" s="13">
        <f>IF(NOT(ISBLANK($A36)),SUM(E$3:E36)-SUM(F$3:F36),"")</f>
        <v>-505.81000000000017</v>
      </c>
      <c r="H36" s="6"/>
      <c r="I36" s="15"/>
      <c r="J36" s="6" t="s">
        <v>9</v>
      </c>
      <c r="K36" s="102">
        <f>IF(NOT(ISBLANK(A36)),SUMIF($J$3:$J36,$J36,$B$3:$B36)-SUMIF($J$3:$J36,$J36,$C$3:$C36)+IF(J36&lt;&gt;"Transfer",SUMIF($J$3:$J36,$J36,$F$3:$F36)-SUMIF($J$3:$J36,$J36,$E$3:$E36),0),"")</f>
        <v>2588.8399999999997</v>
      </c>
      <c r="L36" s="102">
        <f t="shared" si="0"/>
        <v>517.76799999999992</v>
      </c>
      <c r="M36" s="17" t="s">
        <v>37</v>
      </c>
    </row>
    <row r="37" spans="1:13" customFormat="1" ht="14.45" x14ac:dyDescent="0.35">
      <c r="A37" s="8">
        <v>42920</v>
      </c>
      <c r="B37" s="5"/>
      <c r="C37" s="11">
        <v>577.52</v>
      </c>
      <c r="D37" s="13">
        <f>IF(NOT(ISBLANK($A37)),SUM(B$3:B37)-SUM(C$3:C37),"")</f>
        <v>40.899999999999181</v>
      </c>
      <c r="E37" s="5">
        <v>577.52</v>
      </c>
      <c r="F37" s="11"/>
      <c r="G37" s="13">
        <f>IF(NOT(ISBLANK($A37)),SUM(E$3:E37)-SUM(F$3:F37),"")</f>
        <v>71.709999999999809</v>
      </c>
      <c r="H37" s="6"/>
      <c r="I37" s="15"/>
      <c r="J37" s="6" t="s">
        <v>18</v>
      </c>
      <c r="K37" s="102">
        <f>IF(NOT(ISBLANK(A37)),SUMIF($J$3:$J37,$J37,$B$3:$B37)-SUMIF($J$3:$J37,$J37,$C$3:$C37)+IF(J37&lt;&gt;"Transfer",SUMIF($J$3:$J37,$J37,$F$3:$F37)-SUMIF($J$3:$J37,$J37,$E$3:$E37),0),"")</f>
        <v>-1854.48</v>
      </c>
      <c r="L37" s="102">
        <f t="shared" si="0"/>
        <v>-370.89600000000002</v>
      </c>
      <c r="M37" s="17"/>
    </row>
    <row r="38" spans="1:13" customFormat="1" ht="14.45" x14ac:dyDescent="0.35">
      <c r="A38" s="8">
        <v>42922</v>
      </c>
      <c r="B38" s="5">
        <v>10</v>
      </c>
      <c r="C38" s="11"/>
      <c r="D38" s="13">
        <f>IF(NOT(ISBLANK($A38)),SUM(B$3:B38)-SUM(C$3:C38),"")</f>
        <v>50.899999999999181</v>
      </c>
      <c r="E38" s="5"/>
      <c r="F38" s="11"/>
      <c r="G38" s="13">
        <f>IF(NOT(ISBLANK($A38)),SUM(E$3:E38)-SUM(F$3:F38),"")</f>
        <v>71.709999999999809</v>
      </c>
      <c r="H38" s="6"/>
      <c r="I38" s="15"/>
      <c r="J38" s="6" t="s">
        <v>15</v>
      </c>
      <c r="K38" s="102">
        <f>IF(NOT(ISBLANK(A38)),SUMIF($J$3:$J38,$J38,$B$3:$B38)-SUMIF($J$3:$J38,$J38,$C$3:$C38)+IF(J38&lt;&gt;"Transfer",SUMIF($J$3:$J38,$J38,$F$3:$F38)-SUMIF($J$3:$J38,$J38,$E$3:$E38),0),"")</f>
        <v>0</v>
      </c>
      <c r="L38" s="102">
        <f t="shared" si="0"/>
        <v>0</v>
      </c>
      <c r="M38" s="17" t="s">
        <v>24</v>
      </c>
    </row>
    <row r="39" spans="1:13" customFormat="1" ht="14.45" x14ac:dyDescent="0.35">
      <c r="A39" s="7">
        <v>42927</v>
      </c>
      <c r="B39" s="3">
        <v>200</v>
      </c>
      <c r="C39" s="10"/>
      <c r="D39" s="12">
        <f>IF(NOT(ISBLANK($A39)),SUM(B$3:B39)-SUM(C$3:C39),"")</f>
        <v>250.89999999999918</v>
      </c>
      <c r="E39" s="3"/>
      <c r="F39" s="10"/>
      <c r="G39" s="12">
        <f>IF(NOT(ISBLANK($A39)),SUM(E$3:E39)-SUM(F$3:F39),"")</f>
        <v>71.709999999999809</v>
      </c>
      <c r="H39" s="4"/>
      <c r="I39" s="14"/>
      <c r="J39" s="4" t="s">
        <v>9</v>
      </c>
      <c r="K39" s="109">
        <f>IF(NOT(ISBLANK(A39)),SUMIF($J$3:$J39,$J39,$B$3:$B39)-SUMIF($J$3:$J39,$J39,$C$3:$C39)+IF(J39&lt;&gt;"Transfer",SUMIF($J$3:$J39,$J39,$F$3:$F39)-SUMIF($J$3:$J39,$J39,$E$3:$E39),0),"")</f>
        <v>2788.8399999999997</v>
      </c>
      <c r="L39" s="109">
        <f t="shared" si="0"/>
        <v>557.76799999999992</v>
      </c>
      <c r="M39" s="16" t="s">
        <v>25</v>
      </c>
    </row>
    <row r="40" spans="1:13" customFormat="1" ht="14.45" x14ac:dyDescent="0.35">
      <c r="A40" s="7">
        <v>42910</v>
      </c>
      <c r="B40" s="3"/>
      <c r="C40" s="10"/>
      <c r="D40" s="12">
        <f>IF(NOT(ISBLANK($A40)),SUM(B$3:B40)-SUM(C$3:C40),"")</f>
        <v>250.89999999999918</v>
      </c>
      <c r="E40" s="3"/>
      <c r="F40" s="10">
        <v>56.01</v>
      </c>
      <c r="G40" s="12">
        <f>IF(NOT(ISBLANK($A40)),SUM(E$3:E40)-SUM(F$3:F40),"")</f>
        <v>15.699999999999818</v>
      </c>
      <c r="H40" s="4" t="b">
        <v>1</v>
      </c>
      <c r="I40" s="14">
        <v>59541</v>
      </c>
      <c r="J40" s="4" t="s">
        <v>10</v>
      </c>
      <c r="K40" s="109">
        <f>IF(NOT(ISBLANK(A40)),SUMIF($J$3:$J40,$J40,$B$3:$B40)-SUMIF($J$3:$J40,$J40,$C$3:$C40)+IF(J40&lt;&gt;"Transfer",SUMIF($J$3:$J40,$J40,$F$3:$F40)-SUMIF($J$3:$J40,$J40,$E$3:$E40),0),"")</f>
        <v>184.43</v>
      </c>
      <c r="L40" s="109">
        <f t="shared" si="0"/>
        <v>46.107500000000002</v>
      </c>
      <c r="M40" s="16"/>
    </row>
    <row r="41" spans="1:13" customFormat="1" ht="14.45" x14ac:dyDescent="0.35">
      <c r="A41" s="7">
        <v>42911</v>
      </c>
      <c r="B41" s="3"/>
      <c r="C41" s="10"/>
      <c r="D41" s="12">
        <f>IF(NOT(ISBLANK($A41)),SUM(B$3:B41)-SUM(C$3:C41),"")</f>
        <v>250.89999999999918</v>
      </c>
      <c r="E41" s="3"/>
      <c r="F41" s="10">
        <v>1.5</v>
      </c>
      <c r="G41" s="12">
        <f>IF(NOT(ISBLANK($A41)),SUM(E$3:E41)-SUM(F$3:F41),"")</f>
        <v>14.199999999999818</v>
      </c>
      <c r="H41" s="4"/>
      <c r="I41" s="14"/>
      <c r="J41" s="4" t="s">
        <v>28</v>
      </c>
      <c r="K41" s="109">
        <f>IF(NOT(ISBLANK(A41)),SUMIF($J$3:$J41,$J41,$B$3:$B41)-SUMIF($J$3:$J41,$J41,$C$3:$C41)+IF(J41&lt;&gt;"Transfer",SUMIF($J$3:$J41,$J41,$F$3:$F41)-SUMIF($J$3:$J41,$J41,$E$3:$E41),0),"")</f>
        <v>12</v>
      </c>
      <c r="L41" s="109">
        <f t="shared" si="0"/>
        <v>3</v>
      </c>
      <c r="M41" s="16"/>
    </row>
    <row r="42" spans="1:13" customFormat="1" ht="14.45" x14ac:dyDescent="0.35">
      <c r="A42" s="8">
        <v>42914</v>
      </c>
      <c r="B42" s="5"/>
      <c r="C42" s="11"/>
      <c r="D42" s="13">
        <f>IF(NOT(ISBLANK($A42)),SUM(B$3:B42)-SUM(C$3:C42),"")</f>
        <v>250.89999999999918</v>
      </c>
      <c r="E42" s="5"/>
      <c r="F42" s="11">
        <v>63.74</v>
      </c>
      <c r="G42" s="13">
        <f>IF(NOT(ISBLANK($A42)),SUM(E$3:E42)-SUM(F$3:F42),"")</f>
        <v>-49.540000000000191</v>
      </c>
      <c r="H42" s="6" t="b">
        <v>1</v>
      </c>
      <c r="I42" s="15">
        <v>60207</v>
      </c>
      <c r="J42" s="6" t="s">
        <v>10</v>
      </c>
      <c r="K42" s="102">
        <f>IF(NOT(ISBLANK(A42)),SUMIF($J$3:$J42,$J42,$B$3:$B42)-SUMIF($J$3:$J42,$J42,$C$3:$C42)+IF(J42&lt;&gt;"Transfer",SUMIF($J$3:$J42,$J42,$F$3:$F42)-SUMIF($J$3:$J42,$J42,$E$3:$E42),0),"")</f>
        <v>248.17000000000002</v>
      </c>
      <c r="L42" s="102">
        <f t="shared" si="0"/>
        <v>62.042500000000004</v>
      </c>
      <c r="M42" s="17" t="s">
        <v>31</v>
      </c>
    </row>
    <row r="43" spans="1:13" customFormat="1" ht="14.45" x14ac:dyDescent="0.35">
      <c r="A43" s="8">
        <v>42915</v>
      </c>
      <c r="B43" s="5"/>
      <c r="C43" s="11"/>
      <c r="D43" s="13">
        <f>IF(NOT(ISBLANK($A43)),SUM(B$3:B43)-SUM(C$3:C43),"")</f>
        <v>250.89999999999918</v>
      </c>
      <c r="E43" s="5"/>
      <c r="F43" s="11">
        <v>33</v>
      </c>
      <c r="G43" s="13">
        <f>IF(NOT(ISBLANK($A43)),SUM(E$3:E43)-SUM(F$3:F43),"")</f>
        <v>-82.540000000000191</v>
      </c>
      <c r="H43" s="6" t="b">
        <v>1</v>
      </c>
      <c r="I43" s="15">
        <v>60464</v>
      </c>
      <c r="J43" s="6" t="s">
        <v>10</v>
      </c>
      <c r="K43" s="102">
        <f>IF(NOT(ISBLANK(A43)),SUMIF($J$3:$J43,$J43,$B$3:$B43)-SUMIF($J$3:$J43,$J43,$C$3:$C43)+IF(J43&lt;&gt;"Transfer",SUMIF($J$3:$J43,$J43,$F$3:$F43)-SUMIF($J$3:$J43,$J43,$E$3:$E43),0),"")</f>
        <v>281.17</v>
      </c>
      <c r="L43" s="102">
        <f t="shared" si="0"/>
        <v>70.292500000000004</v>
      </c>
      <c r="M43" s="17"/>
    </row>
    <row r="44" spans="1:13" customFormat="1" ht="14.45" x14ac:dyDescent="0.35">
      <c r="A44" s="8">
        <v>42916</v>
      </c>
      <c r="B44" s="5"/>
      <c r="C44" s="11"/>
      <c r="D44" s="13">
        <f>IF(NOT(ISBLANK($A44)),SUM(B$3:B44)-SUM(C$3:C44),"")</f>
        <v>250.89999999999918</v>
      </c>
      <c r="E44" s="5"/>
      <c r="F44" s="11">
        <v>20.329999999999998</v>
      </c>
      <c r="G44" s="13">
        <f>IF(NOT(ISBLANK($A44)),SUM(E$3:E44)-SUM(F$3:F44),"")</f>
        <v>-102.87000000000012</v>
      </c>
      <c r="H44" s="6"/>
      <c r="I44" s="15"/>
      <c r="J44" s="6" t="s">
        <v>26</v>
      </c>
      <c r="K44" s="102">
        <f>IF(NOT(ISBLANK(A44)),SUMIF($J$3:$J44,$J44,$B$3:$B44)-SUMIF($J$3:$J44,$J44,$C$3:$C44)+IF(J44&lt;&gt;"Transfer",SUMIF($J$3:$J44,$J44,$F$3:$F44)-SUMIF($J$3:$J44,$J44,$E$3:$E44),0),"")</f>
        <v>121.22</v>
      </c>
      <c r="L44" s="102">
        <f t="shared" si="0"/>
        <v>30.305</v>
      </c>
      <c r="M44" s="17" t="s">
        <v>32</v>
      </c>
    </row>
    <row r="45" spans="1:13" customFormat="1" ht="14.45" x14ac:dyDescent="0.35">
      <c r="A45" s="7">
        <v>42918</v>
      </c>
      <c r="B45" s="3"/>
      <c r="C45" s="10"/>
      <c r="D45" s="12">
        <f>IF(NOT(ISBLANK($A45)),SUM(B$3:B45)-SUM(C$3:C45),"")</f>
        <v>250.89999999999918</v>
      </c>
      <c r="E45" s="3"/>
      <c r="F45" s="10">
        <v>3</v>
      </c>
      <c r="G45" s="12">
        <f>IF(NOT(ISBLANK($A45)),SUM(E$3:E45)-SUM(F$3:F45),"")</f>
        <v>-105.87000000000012</v>
      </c>
      <c r="H45" s="4"/>
      <c r="I45" s="14"/>
      <c r="J45" s="4" t="s">
        <v>28</v>
      </c>
      <c r="K45" s="109">
        <f>IF(NOT(ISBLANK(A45)),SUMIF($J$3:$J45,$J45,$B$3:$B45)-SUMIF($J$3:$J45,$J45,$C$3:$C45)+IF(J45&lt;&gt;"Transfer",SUMIF($J$3:$J45,$J45,$F$3:$F45)-SUMIF($J$3:$J45,$J45,$E$3:$E45),0),"")</f>
        <v>15</v>
      </c>
      <c r="L45" s="109">
        <f t="shared" si="0"/>
        <v>3.75</v>
      </c>
      <c r="M45" s="16"/>
    </row>
    <row r="46" spans="1:13" customFormat="1" ht="14.45" x14ac:dyDescent="0.35">
      <c r="A46" s="7">
        <v>42918</v>
      </c>
      <c r="B46" s="3"/>
      <c r="C46" s="10"/>
      <c r="D46" s="12">
        <f>IF(NOT(ISBLANK($A46)),SUM(B$3:B46)-SUM(C$3:C46),"")</f>
        <v>250.89999999999918</v>
      </c>
      <c r="E46" s="3"/>
      <c r="F46" s="10">
        <v>3</v>
      </c>
      <c r="G46" s="12">
        <f>IF(NOT(ISBLANK($A46)),SUM(E$3:E46)-SUM(F$3:F46),"")</f>
        <v>-108.87000000000012</v>
      </c>
      <c r="H46" s="4"/>
      <c r="I46" s="14"/>
      <c r="J46" s="4" t="s">
        <v>28</v>
      </c>
      <c r="K46" s="109">
        <f>IF(NOT(ISBLANK(A46)),SUMIF($J$3:$J46,$J46,$B$3:$B46)-SUMIF($J$3:$J46,$J46,$C$3:$C46)+IF(J46&lt;&gt;"Transfer",SUMIF($J$3:$J46,$J46,$F$3:$F46)-SUMIF($J$3:$J46,$J46,$E$3:$E46),0),"")</f>
        <v>18</v>
      </c>
      <c r="L46" s="109">
        <f t="shared" si="0"/>
        <v>4.5</v>
      </c>
      <c r="M46" s="16"/>
    </row>
    <row r="47" spans="1:13" customFormat="1" ht="14.45" x14ac:dyDescent="0.35">
      <c r="A47" s="7">
        <v>42918</v>
      </c>
      <c r="B47" s="3"/>
      <c r="C47" s="10"/>
      <c r="D47" s="12">
        <f>IF(NOT(ISBLANK($A47)),SUM(B$3:B47)-SUM(C$3:C47),"")</f>
        <v>250.89999999999918</v>
      </c>
      <c r="E47" s="3"/>
      <c r="F47" s="10">
        <v>3</v>
      </c>
      <c r="G47" s="12">
        <f>IF(NOT(ISBLANK($A47)),SUM(E$3:E47)-SUM(F$3:F47),"")</f>
        <v>-111.87000000000012</v>
      </c>
      <c r="H47" s="4" t="b">
        <v>1</v>
      </c>
      <c r="I47" s="14"/>
      <c r="J47" s="4" t="s">
        <v>28</v>
      </c>
      <c r="K47" s="109">
        <f>IF(NOT(ISBLANK(A47)),SUMIF($J$3:$J47,$J47,$B$3:$B47)-SUMIF($J$3:$J47,$J47,$C$3:$C47)+IF(J47&lt;&gt;"Transfer",SUMIF($J$3:$J47,$J47,$F$3:$F47)-SUMIF($J$3:$J47,$J47,$E$3:$E47),0),"")</f>
        <v>21</v>
      </c>
      <c r="L47" s="109">
        <f t="shared" si="0"/>
        <v>5.25</v>
      </c>
      <c r="M47" s="16"/>
    </row>
    <row r="48" spans="1:13" customFormat="1" ht="14.45" x14ac:dyDescent="0.35">
      <c r="A48" s="8">
        <v>42920</v>
      </c>
      <c r="B48" s="5"/>
      <c r="C48" s="11"/>
      <c r="D48" s="13">
        <f>IF(NOT(ISBLANK($A48)),SUM(B$3:B48)-SUM(C$3:C48),"")</f>
        <v>250.89999999999918</v>
      </c>
      <c r="E48" s="5"/>
      <c r="F48" s="11">
        <v>112.89</v>
      </c>
      <c r="G48" s="13">
        <f>IF(NOT(ISBLANK($A48)),SUM(E$3:E48)-SUM(F$3:F48),"")</f>
        <v>-224.76</v>
      </c>
      <c r="H48" s="6" t="b">
        <v>1</v>
      </c>
      <c r="I48" s="15"/>
      <c r="J48" s="6" t="s">
        <v>29</v>
      </c>
      <c r="K48" s="102">
        <f>IF(NOT(ISBLANK(A48)),SUMIF($J$3:$J48,$J48,$B$3:$B48)-SUMIF($J$3:$J48,$J48,$C$3:$C48)+IF(J48&lt;&gt;"Transfer",SUMIF($J$3:$J48,$J48,$F$3:$F48)-SUMIF($J$3:$J48,$J48,$E$3:$E48),0),"")</f>
        <v>424.77</v>
      </c>
      <c r="L48" s="102">
        <f t="shared" si="0"/>
        <v>84.953999999999994</v>
      </c>
      <c r="M48" s="17" t="s">
        <v>33</v>
      </c>
    </row>
    <row r="49" spans="1:13" customFormat="1" ht="14.45" x14ac:dyDescent="0.35">
      <c r="A49" s="8">
        <v>42921</v>
      </c>
      <c r="B49" s="5"/>
      <c r="C49" s="11"/>
      <c r="D49" s="13">
        <f>IF(NOT(ISBLANK($A49)),SUM(B$3:B49)-SUM(C$3:C49),"")</f>
        <v>250.89999999999918</v>
      </c>
      <c r="E49" s="5"/>
      <c r="F49" s="11">
        <v>63.26</v>
      </c>
      <c r="G49" s="13">
        <f>IF(NOT(ISBLANK($A49)),SUM(E$3:E49)-SUM(F$3:F49),"")</f>
        <v>-288.02000000000021</v>
      </c>
      <c r="H49" s="6" t="b">
        <v>1</v>
      </c>
      <c r="I49" s="15">
        <v>61058</v>
      </c>
      <c r="J49" s="6" t="s">
        <v>10</v>
      </c>
      <c r="K49" s="102">
        <f>IF(NOT(ISBLANK(A49)),SUMIF($J$3:$J49,$J49,$B$3:$B49)-SUMIF($J$3:$J49,$J49,$C$3:$C49)+IF(J49&lt;&gt;"Transfer",SUMIF($J$3:$J49,$J49,$F$3:$F49)-SUMIF($J$3:$J49,$J49,$E$3:$E49),0),"")</f>
        <v>344.43</v>
      </c>
      <c r="L49" s="102">
        <f t="shared" si="0"/>
        <v>68.885999999999996</v>
      </c>
      <c r="M49" s="17"/>
    </row>
    <row r="50" spans="1:13" customFormat="1" ht="14.45" x14ac:dyDescent="0.35">
      <c r="A50" s="8">
        <v>42927</v>
      </c>
      <c r="B50" s="5"/>
      <c r="C50" s="11"/>
      <c r="D50" s="13">
        <f>IF(NOT(ISBLANK($A50)),SUM(B$3:B50)-SUM(C$3:C50),"")</f>
        <v>250.89999999999918</v>
      </c>
      <c r="E50" s="5"/>
      <c r="F50" s="11">
        <v>6</v>
      </c>
      <c r="G50" s="13">
        <f>IF(NOT(ISBLANK($A50)),SUM(E$3:E50)-SUM(F$3:F50),"")</f>
        <v>-294.02000000000021</v>
      </c>
      <c r="H50" s="6"/>
      <c r="I50" s="15"/>
      <c r="J50" s="6" t="s">
        <v>28</v>
      </c>
      <c r="K50" s="102">
        <f>IF(NOT(ISBLANK(A50)),SUMIF($J$3:$J50,$J50,$B$3:$B50)-SUMIF($J$3:$J50,$J50,$C$3:$C50)+IF(J50&lt;&gt;"Transfer",SUMIF($J$3:$J50,$J50,$F$3:$F50)-SUMIF($J$3:$J50,$J50,$E$3:$E50),0),"")</f>
        <v>27</v>
      </c>
      <c r="L50" s="102">
        <f t="shared" si="0"/>
        <v>5.4</v>
      </c>
      <c r="M50" s="17"/>
    </row>
    <row r="51" spans="1:13" thickBot="1" x14ac:dyDescent="0.4">
      <c r="A51" s="19">
        <v>42928</v>
      </c>
      <c r="B51" s="23"/>
      <c r="C51" s="24"/>
      <c r="D51" s="25">
        <f>IF(NOT(ISBLANK($A51)),SUM(B$3:B51)-SUM(C$3:C51),"")</f>
        <v>250.89999999999918</v>
      </c>
      <c r="E51" s="23"/>
      <c r="F51" s="24">
        <v>1294.98</v>
      </c>
      <c r="G51" s="25">
        <f>IF(NOT(ISBLANK($A51)),SUM(E$3:E51)-SUM(F$3:F51),"")</f>
        <v>-1589.0000000000002</v>
      </c>
      <c r="H51" s="20" t="b">
        <v>1</v>
      </c>
      <c r="I51" s="21">
        <v>61420</v>
      </c>
      <c r="J51" s="20" t="s">
        <v>29</v>
      </c>
      <c r="K51" s="110">
        <f>IF(NOT(ISBLANK(A51)),SUMIF($J$3:$J51,$J51,$B$3:$B51)-SUMIF($J$3:$J51,$J51,$C$3:$C51)+IF(J51&lt;&gt;"Transfer",SUMIF($J$3:$J51,$J51,$F$3:$F51)-SUMIF($J$3:$J51,$J51,$E$3:$E51),0),"")</f>
        <v>1719.75</v>
      </c>
      <c r="L51" s="110">
        <f t="shared" si="0"/>
        <v>343.95</v>
      </c>
      <c r="M51" s="22" t="s">
        <v>34</v>
      </c>
    </row>
    <row r="52" spans="1:13" customFormat="1" ht="14.45" x14ac:dyDescent="0.35">
      <c r="A52" s="7">
        <v>42929</v>
      </c>
      <c r="B52" s="3"/>
      <c r="C52" s="10">
        <v>222.42</v>
      </c>
      <c r="D52" s="12">
        <f>IF(NOT(ISBLANK($A52)),SUM(B$3:B52)-SUM(C$3:C52),"")</f>
        <v>28.479999999999109</v>
      </c>
      <c r="E52" s="3"/>
      <c r="F52" s="10"/>
      <c r="G52" s="12">
        <f>IF(NOT(ISBLANK($A52)),SUM(E$3:E52)-SUM(F$3:F52),"")</f>
        <v>-1589.0000000000002</v>
      </c>
      <c r="H52" s="4"/>
      <c r="I52" s="14"/>
      <c r="J52" s="4" t="s">
        <v>14</v>
      </c>
      <c r="K52" s="109">
        <f>IF(NOT(ISBLANK(A52)),SUMIF($J$3:$J52,$J52,$B$3:$B52)-SUMIF($J$3:$J52,$J52,$C$3:$C52)+IF(J52&lt;&gt;"Transfer",SUMIF($J$3:$J52,$J52,$F$3:$F52)-SUMIF($J$3:$J52,$J52,$E$3:$E52),0),"")</f>
        <v>332.74</v>
      </c>
      <c r="L52" s="109">
        <f t="shared" si="0"/>
        <v>66.548000000000002</v>
      </c>
      <c r="M52" s="16"/>
    </row>
    <row r="53" spans="1:13" customFormat="1" ht="14.45" x14ac:dyDescent="0.35">
      <c r="A53" s="7">
        <v>42929</v>
      </c>
      <c r="B53" s="3"/>
      <c r="C53" s="10">
        <v>5</v>
      </c>
      <c r="D53" s="12">
        <f>IF(NOT(ISBLANK($A53)),SUM(B$3:B53)-SUM(C$3:C53),"")</f>
        <v>23.479999999999109</v>
      </c>
      <c r="E53" s="3"/>
      <c r="F53" s="10"/>
      <c r="G53" s="12">
        <f>IF(NOT(ISBLANK($A53)),SUM(E$3:E53)-SUM(F$3:F53),"")</f>
        <v>-1589.0000000000002</v>
      </c>
      <c r="H53" s="4"/>
      <c r="I53" s="14"/>
      <c r="J53" s="4" t="s">
        <v>15</v>
      </c>
      <c r="K53" s="109">
        <f>IF(NOT(ISBLANK(A53)),SUMIF($J$3:$J53,$J53,$B$3:$B53)-SUMIF($J$3:$J53,$J53,$C$3:$C53)+IF(J53&lt;&gt;"Transfer",SUMIF($J$3:$J53,$J53,$F$3:$F53)-SUMIF($J$3:$J53,$J53,$E$3:$E53),0),"")</f>
        <v>-5</v>
      </c>
      <c r="L53" s="109">
        <f t="shared" si="0"/>
        <v>-1</v>
      </c>
      <c r="M53" s="16"/>
    </row>
    <row r="54" spans="1:13" customFormat="1" ht="14.45" x14ac:dyDescent="0.35">
      <c r="A54" s="8">
        <v>42930</v>
      </c>
      <c r="B54" s="5"/>
      <c r="C54" s="11"/>
      <c r="D54" s="13">
        <f>IF(NOT(ISBLANK($A54)),SUM(B$3:B54)-SUM(C$3:C54),"")</f>
        <v>23.479999999999109</v>
      </c>
      <c r="E54" s="5"/>
      <c r="F54" s="11">
        <v>58</v>
      </c>
      <c r="G54" s="13">
        <f>IF(NOT(ISBLANK($A54)),SUM(E$3:E54)-SUM(F$3:F54),"")</f>
        <v>-1647.0000000000002</v>
      </c>
      <c r="H54" s="6" t="b">
        <v>1</v>
      </c>
      <c r="I54" s="15">
        <v>61505</v>
      </c>
      <c r="J54" s="6" t="s">
        <v>10</v>
      </c>
      <c r="K54" s="102">
        <f>IF(NOT(ISBLANK(A54)),SUMIF($J$3:$J54,$J54,$B$3:$B54)-SUMIF($J$3:$J54,$J54,$C$3:$C54)+IF(J54&lt;&gt;"Transfer",SUMIF($J$3:$J54,$J54,$F$3:$F54)-SUMIF($J$3:$J54,$J54,$E$3:$E54),0),"")</f>
        <v>402.43</v>
      </c>
      <c r="L54" s="102">
        <f t="shared" si="0"/>
        <v>80.486000000000004</v>
      </c>
      <c r="M54" s="17"/>
    </row>
    <row r="55" spans="1:13" customFormat="1" ht="14.45" x14ac:dyDescent="0.35">
      <c r="A55" s="8">
        <v>42933</v>
      </c>
      <c r="B55" s="5">
        <v>450</v>
      </c>
      <c r="C55" s="11"/>
      <c r="D55" s="13">
        <f>IF(NOT(ISBLANK($A55)),SUM(B$3:B55)-SUM(C$3:C55),"")</f>
        <v>473.47999999999911</v>
      </c>
      <c r="E55" s="5"/>
      <c r="F55" s="11"/>
      <c r="G55" s="13">
        <f>IF(NOT(ISBLANK($A55)),SUM(E$3:E55)-SUM(F$3:F55),"")</f>
        <v>-1647.0000000000002</v>
      </c>
      <c r="H55" s="6"/>
      <c r="I55" s="15"/>
      <c r="J55" s="6" t="s">
        <v>9</v>
      </c>
      <c r="K55" s="102">
        <f>IF(NOT(ISBLANK(A55)),SUMIF($J$3:$J55,$J55,$B$3:$B55)-SUMIF($J$3:$J55,$J55,$C$3:$C55)+IF(J55&lt;&gt;"Transfer",SUMIF($J$3:$J55,$J55,$F$3:$F55)-SUMIF($J$3:$J55,$J55,$E$3:$E55),0),"")</f>
        <v>3238.8399999999997</v>
      </c>
      <c r="L55" s="102">
        <f t="shared" si="0"/>
        <v>539.80666666666662</v>
      </c>
      <c r="M55" s="17"/>
    </row>
    <row r="56" spans="1:13" customFormat="1" ht="14.45" x14ac:dyDescent="0.35">
      <c r="A56" s="8">
        <v>42935</v>
      </c>
      <c r="B56" s="5"/>
      <c r="C56" s="11"/>
      <c r="D56" s="13">
        <f>IF(NOT(ISBLANK($A56)),SUM(B$3:B56)-SUM(C$3:C56),"")</f>
        <v>473.47999999999911</v>
      </c>
      <c r="E56" s="5"/>
      <c r="F56" s="11">
        <v>71.37</v>
      </c>
      <c r="G56" s="13">
        <f>IF(NOT(ISBLANK($A56)),SUM(E$3:E56)-SUM(F$3:F56),"")</f>
        <v>-1718.3700000000001</v>
      </c>
      <c r="H56" s="6" t="b">
        <v>1</v>
      </c>
      <c r="I56" s="15">
        <v>62197</v>
      </c>
      <c r="J56" s="6" t="s">
        <v>10</v>
      </c>
      <c r="K56" s="102">
        <f>IF(NOT(ISBLANK(A56)),SUMIF($J$3:$J56,$J56,$B$3:$B56)-SUMIF($J$3:$J56,$J56,$C$3:$C56)+IF(J56&lt;&gt;"Transfer",SUMIF($J$3:$J56,$J56,$F$3:$F56)-SUMIF($J$3:$J56,$J56,$E$3:$E56),0),"")</f>
        <v>473.80000000000007</v>
      </c>
      <c r="L56" s="102">
        <f t="shared" si="0"/>
        <v>78.966666666666683</v>
      </c>
      <c r="M56" s="17"/>
    </row>
    <row r="57" spans="1:13" customFormat="1" ht="14.45" x14ac:dyDescent="0.35">
      <c r="A57" s="7">
        <v>42941</v>
      </c>
      <c r="B57" s="3"/>
      <c r="C57" s="10"/>
      <c r="D57" s="12">
        <f>IF(NOT(ISBLANK($A57)),SUM(B$3:B57)-SUM(C$3:C57),"")</f>
        <v>473.47999999999911</v>
      </c>
      <c r="E57" s="3"/>
      <c r="F57" s="10">
        <v>70.5</v>
      </c>
      <c r="G57" s="12">
        <f>IF(NOT(ISBLANK($A57)),SUM(E$3:E57)-SUM(F$3:F57),"")</f>
        <v>-1788.8700000000001</v>
      </c>
      <c r="H57" s="4" t="b">
        <v>1</v>
      </c>
      <c r="I57" s="14">
        <v>62862</v>
      </c>
      <c r="J57" s="4" t="s">
        <v>10</v>
      </c>
      <c r="K57" s="109">
        <f>IF(NOT(ISBLANK(A57)),SUMIF($J$3:$J57,$J57,$B$3:$B57)-SUMIF($J$3:$J57,$J57,$C$3:$C57)+IF(J57&lt;&gt;"Transfer",SUMIF($J$3:$J57,$J57,$F$3:$F57)-SUMIF($J$3:$J57,$J57,$E$3:$E57),0),"")</f>
        <v>544.30000000000007</v>
      </c>
      <c r="L57" s="109">
        <f t="shared" si="0"/>
        <v>90.716666666666683</v>
      </c>
      <c r="M57" s="16"/>
    </row>
    <row r="58" spans="1:13" customFormat="1" ht="14.45" x14ac:dyDescent="0.35">
      <c r="A58" s="7">
        <v>42942</v>
      </c>
      <c r="B58" s="3"/>
      <c r="C58" s="10"/>
      <c r="D58" s="12">
        <f>IF(NOT(ISBLANK($A58)),SUM(B$3:B58)-SUM(C$3:C58),"")</f>
        <v>473.47999999999911</v>
      </c>
      <c r="E58" s="3"/>
      <c r="F58" s="10">
        <v>8.5</v>
      </c>
      <c r="G58" s="12">
        <f>IF(NOT(ISBLANK($A58)),SUM(E$3:E58)-SUM(F$3:F58),"")</f>
        <v>-1797.3700000000001</v>
      </c>
      <c r="H58" s="4" t="b">
        <v>1</v>
      </c>
      <c r="I58" s="14"/>
      <c r="J58" s="4" t="s">
        <v>28</v>
      </c>
      <c r="K58" s="109">
        <f>IF(NOT(ISBLANK(A58)),SUMIF($J$3:$J58,$J58,$B$3:$B58)-SUMIF($J$3:$J58,$J58,$C$3:$C58)+IF(J58&lt;&gt;"Transfer",SUMIF($J$3:$J58,$J58,$F$3:$F58)-SUMIF($J$3:$J58,$J58,$E$3:$E58),0),"")</f>
        <v>35.5</v>
      </c>
      <c r="L58" s="109">
        <f t="shared" si="0"/>
        <v>5.916666666666667</v>
      </c>
      <c r="M58" s="16"/>
    </row>
    <row r="59" spans="1:13" customFormat="1" ht="14.45" x14ac:dyDescent="0.35">
      <c r="A59" s="7">
        <v>42943</v>
      </c>
      <c r="B59" s="3">
        <v>1000</v>
      </c>
      <c r="C59" s="10"/>
      <c r="D59" s="12">
        <f>IF(NOT(ISBLANK($A59)),SUM(B$3:B59)-SUM(C$3:C59),"")</f>
        <v>1473.4799999999996</v>
      </c>
      <c r="E59" s="3"/>
      <c r="F59" s="10"/>
      <c r="G59" s="12">
        <f>IF(NOT(ISBLANK($A59)),SUM(E$3:E59)-SUM(F$3:F59),"")</f>
        <v>-1797.3700000000001</v>
      </c>
      <c r="H59" s="4"/>
      <c r="I59" s="14"/>
      <c r="J59" s="4" t="s">
        <v>9</v>
      </c>
      <c r="K59" s="109">
        <f>IF(NOT(ISBLANK(A59)),SUMIF($J$3:$J59,$J59,$B$3:$B59)-SUMIF($J$3:$J59,$J59,$C$3:$C59)+IF(J59&lt;&gt;"Transfer",SUMIF($J$3:$J59,$J59,$F$3:$F59)-SUMIF($J$3:$J59,$J59,$E$3:$E59),0),"")</f>
        <v>4238.84</v>
      </c>
      <c r="L59" s="109">
        <f t="shared" si="0"/>
        <v>706.47333333333336</v>
      </c>
      <c r="M59" s="16"/>
    </row>
    <row r="60" spans="1:13" customFormat="1" ht="14.45" x14ac:dyDescent="0.35">
      <c r="A60" s="8">
        <v>42943</v>
      </c>
      <c r="B60" s="5"/>
      <c r="C60" s="11"/>
      <c r="D60" s="13">
        <f>IF(NOT(ISBLANK($A60)),SUM(B$3:B60)-SUM(C$3:C60),"")</f>
        <v>1473.4799999999996</v>
      </c>
      <c r="E60" s="5">
        <v>168.09</v>
      </c>
      <c r="F60" s="11"/>
      <c r="G60" s="13">
        <f>IF(NOT(ISBLANK($A60)),SUM(E$3:E60)-SUM(F$3:F60),"")</f>
        <v>-1629.2800000000002</v>
      </c>
      <c r="H60" s="6"/>
      <c r="I60" s="15"/>
      <c r="J60" s="6" t="s">
        <v>18</v>
      </c>
      <c r="K60" s="102">
        <f>IF(NOT(ISBLANK(A60)),SUMIF($J$3:$J60,$J60,$B$3:$B60)-SUMIF($J$3:$J60,$J60,$C$3:$C60)+IF(J60&lt;&gt;"Transfer",SUMIF($J$3:$J60,$J60,$F$3:$F60)-SUMIF($J$3:$J60,$J60,$E$3:$E60),0),"")</f>
        <v>-1854.48</v>
      </c>
      <c r="L60" s="102">
        <f t="shared" si="0"/>
        <v>-309.08</v>
      </c>
      <c r="M60" s="17" t="s">
        <v>41</v>
      </c>
    </row>
    <row r="61" spans="1:13" customFormat="1" ht="14.45" x14ac:dyDescent="0.35">
      <c r="A61" s="8">
        <v>42943</v>
      </c>
      <c r="B61" s="5"/>
      <c r="C61" s="11">
        <v>1000</v>
      </c>
      <c r="D61" s="13">
        <f>IF(NOT(ISBLANK($A61)),SUM(B$3:B61)-SUM(C$3:C61),"")</f>
        <v>473.47999999999956</v>
      </c>
      <c r="E61" s="5">
        <v>1000</v>
      </c>
      <c r="F61" s="11"/>
      <c r="G61" s="13">
        <f>IF(NOT(ISBLANK($A61)),SUM(E$3:E61)-SUM(F$3:F61),"")</f>
        <v>-629.2800000000002</v>
      </c>
      <c r="H61" s="6"/>
      <c r="I61" s="15"/>
      <c r="J61" s="6" t="s">
        <v>18</v>
      </c>
      <c r="K61" s="102">
        <f>IF(NOT(ISBLANK(A61)),SUMIF($J$3:$J61,$J61,$B$3:$B61)-SUMIF($J$3:$J61,$J61,$C$3:$C61)+IF(J61&lt;&gt;"Transfer",SUMIF($J$3:$J61,$J61,$F$3:$F61)-SUMIF($J$3:$J61,$J61,$E$3:$E61),0),"")</f>
        <v>-2854.48</v>
      </c>
      <c r="L61" s="102">
        <f t="shared" si="0"/>
        <v>-475.74666666666667</v>
      </c>
      <c r="M61" s="17"/>
    </row>
    <row r="62" spans="1:13" customFormat="1" ht="14.45" x14ac:dyDescent="0.35">
      <c r="A62" s="8">
        <v>42943</v>
      </c>
      <c r="B62" s="5"/>
      <c r="C62" s="11">
        <v>222.42</v>
      </c>
      <c r="D62" s="13">
        <f>IF(NOT(ISBLANK($A62)),SUM(B$3:B62)-SUM(C$3:C62),"")</f>
        <v>251.05999999999949</v>
      </c>
      <c r="E62" s="5"/>
      <c r="F62" s="11"/>
      <c r="G62" s="13">
        <f>IF(NOT(ISBLANK($A62)),SUM(E$3:E62)-SUM(F$3:F62),"")</f>
        <v>-629.2800000000002</v>
      </c>
      <c r="H62" s="6"/>
      <c r="I62" s="15"/>
      <c r="J62" s="6" t="s">
        <v>14</v>
      </c>
      <c r="K62" s="102">
        <f>IF(NOT(ISBLANK(A62)),SUMIF($J$3:$J62,$J62,$B$3:$B62)-SUMIF($J$3:$J62,$J62,$C$3:$C62)+IF(J62&lt;&gt;"Transfer",SUMIF($J$3:$J62,$J62,$F$3:$F62)-SUMIF($J$3:$J62,$J62,$E$3:$E62),0),"")</f>
        <v>110.32000000000005</v>
      </c>
      <c r="L62" s="102">
        <f t="shared" si="0"/>
        <v>18.386666666666674</v>
      </c>
      <c r="M62" s="17"/>
    </row>
    <row r="63" spans="1:13" customFormat="1" ht="14.45" x14ac:dyDescent="0.35">
      <c r="A63" s="7">
        <v>42944</v>
      </c>
      <c r="B63" s="3"/>
      <c r="C63" s="10"/>
      <c r="D63" s="12">
        <f>IF(NOT(ISBLANK($A63)),SUM(B$3:B63)-SUM(C$3:C63),"")</f>
        <v>251.05999999999949</v>
      </c>
      <c r="E63" s="3"/>
      <c r="F63" s="10">
        <v>37.28</v>
      </c>
      <c r="G63" s="12">
        <f>IF(NOT(ISBLANK($A63)),SUM(E$3:E63)-SUM(F$3:F63),"")</f>
        <v>-666.5600000000004</v>
      </c>
      <c r="H63" s="4" t="b">
        <v>1</v>
      </c>
      <c r="I63" s="14">
        <v>63575</v>
      </c>
      <c r="J63" s="4" t="s">
        <v>39</v>
      </c>
      <c r="K63" s="109">
        <f>IF(NOT(ISBLANK(A63)),SUMIF($J$3:$J63,$J63,$B$3:$B63)-SUMIF($J$3:$J63,$J63,$C$3:$C63)+IF(J63&lt;&gt;"Transfer",SUMIF($J$3:$J63,$J63,$F$3:$F63)-SUMIF($J$3:$J63,$J63,$E$3:$E63),0),"")</f>
        <v>37.28</v>
      </c>
      <c r="L63" s="109">
        <f t="shared" si="0"/>
        <v>6.2133333333333338</v>
      </c>
      <c r="M63" s="16"/>
    </row>
    <row r="64" spans="1:13" customFormat="1" ht="14.45" x14ac:dyDescent="0.35">
      <c r="A64" s="7">
        <v>42945</v>
      </c>
      <c r="B64" s="3"/>
      <c r="C64" s="10"/>
      <c r="D64" s="12">
        <f>IF(NOT(ISBLANK($A64)),SUM(B$3:B64)-SUM(C$3:C64),"")</f>
        <v>251.05999999999949</v>
      </c>
      <c r="E64" s="3"/>
      <c r="F64" s="10">
        <v>68</v>
      </c>
      <c r="G64" s="12">
        <f>IF(NOT(ISBLANK($A64)),SUM(E$3:E64)-SUM(F$3:F64),"")</f>
        <v>-734.5600000000004</v>
      </c>
      <c r="H64" s="4" t="b">
        <v>1</v>
      </c>
      <c r="I64" s="14">
        <v>63615</v>
      </c>
      <c r="J64" s="4" t="s">
        <v>10</v>
      </c>
      <c r="K64" s="109">
        <f>IF(NOT(ISBLANK(A64)),SUMIF($J$3:$J64,$J64,$B$3:$B64)-SUMIF($J$3:$J64,$J64,$C$3:$C64)+IF(J64&lt;&gt;"Transfer",SUMIF($J$3:$J64,$J64,$F$3:$F64)-SUMIF($J$3:$J64,$J64,$E$3:$E64),0),"")</f>
        <v>612.30000000000007</v>
      </c>
      <c r="L64" s="109">
        <f t="shared" si="0"/>
        <v>102.05000000000001</v>
      </c>
      <c r="M64" s="16"/>
    </row>
    <row r="65" spans="1:13" customFormat="1" ht="14.45" x14ac:dyDescent="0.35">
      <c r="A65" s="7">
        <v>42947</v>
      </c>
      <c r="B65" s="3">
        <v>450</v>
      </c>
      <c r="C65" s="10"/>
      <c r="D65" s="12">
        <f>IF(NOT(ISBLANK($A65)),SUM(B$3:B65)-SUM(C$3:C65),"")</f>
        <v>701.05999999999949</v>
      </c>
      <c r="E65" s="3"/>
      <c r="F65" s="10"/>
      <c r="G65" s="12">
        <f>IF(NOT(ISBLANK($A65)),SUM(E$3:E65)-SUM(F$3:F65),"")</f>
        <v>-734.5600000000004</v>
      </c>
      <c r="H65" s="4"/>
      <c r="I65" s="14"/>
      <c r="J65" s="4" t="s">
        <v>9</v>
      </c>
      <c r="K65" s="109">
        <f>IF(NOT(ISBLANK(A65)),SUMIF($J$3:$J65,$J65,$B$3:$B65)-SUMIF($J$3:$J65,$J65,$C$3:$C65)+IF(J65&lt;&gt;"Transfer",SUMIF($J$3:$J65,$J65,$F$3:$F65)-SUMIF($J$3:$J65,$J65,$E$3:$E65),0),"")</f>
        <v>4688.84</v>
      </c>
      <c r="L65" s="109">
        <f t="shared" si="0"/>
        <v>669.83428571428578</v>
      </c>
      <c r="M65" s="16"/>
    </row>
    <row r="66" spans="1:13" customFormat="1" ht="14.45" x14ac:dyDescent="0.35">
      <c r="A66" s="8">
        <v>42953</v>
      </c>
      <c r="B66" s="5"/>
      <c r="C66" s="11"/>
      <c r="D66" s="13">
        <f>IF(NOT(ISBLANK($A66)),SUM(B$3:B66)-SUM(C$3:C66),"")</f>
        <v>701.05999999999949</v>
      </c>
      <c r="E66" s="5"/>
      <c r="F66" s="11">
        <v>74.680000000000007</v>
      </c>
      <c r="G66" s="13">
        <f>IF(NOT(ISBLANK($A66)),SUM(E$3:E66)-SUM(F$3:F66),"")</f>
        <v>-809.24000000000024</v>
      </c>
      <c r="H66" s="6" t="b">
        <v>1</v>
      </c>
      <c r="I66" s="15">
        <v>64251</v>
      </c>
      <c r="J66" s="6" t="s">
        <v>10</v>
      </c>
      <c r="K66" s="102">
        <f>IF(NOT(ISBLANK(A66)),SUMIF($J$3:$J66,$J66,$B$3:$B66)-SUMIF($J$3:$J66,$J66,$C$3:$C66)+IF(J66&lt;&gt;"Transfer",SUMIF($J$3:$J66,$J66,$F$3:$F66)-SUMIF($J$3:$J66,$J66,$E$3:$E66),0),"")</f>
        <v>686.98000000000013</v>
      </c>
      <c r="L66" s="102">
        <f t="shared" si="0"/>
        <v>98.140000000000015</v>
      </c>
      <c r="M66" s="17" t="s">
        <v>31</v>
      </c>
    </row>
    <row r="67" spans="1:13" customFormat="1" ht="14.45" x14ac:dyDescent="0.35">
      <c r="A67" s="8">
        <v>42955</v>
      </c>
      <c r="B67" s="5"/>
      <c r="C67" s="11">
        <v>82.97</v>
      </c>
      <c r="D67" s="13">
        <f>IF(NOT(ISBLANK($A67)),SUM(B$3:B67)-SUM(C$3:C67),"")</f>
        <v>618.08999999999969</v>
      </c>
      <c r="E67" s="5"/>
      <c r="F67" s="11"/>
      <c r="G67" s="13">
        <f>IF(NOT(ISBLANK($A67)),SUM(E$3:E67)-SUM(F$3:F67),"")</f>
        <v>-809.24000000000024</v>
      </c>
      <c r="H67" s="6"/>
      <c r="I67" s="15"/>
      <c r="J67" s="6" t="s">
        <v>13</v>
      </c>
      <c r="K67" s="102">
        <f>IF(NOT(ISBLANK(A67)),SUMIF($J$3:$J67,$J67,$B$3:$B67)-SUMIF($J$3:$J67,$J67,$C$3:$C67)+IF(J67&lt;&gt;"Transfer",SUMIF($J$3:$J67,$J67,$F$3:$F67)-SUMIF($J$3:$J67,$J67,$E$3:$E67),0),"")</f>
        <v>-165.94</v>
      </c>
      <c r="L67" s="102">
        <f t="shared" si="0"/>
        <v>-23.705714285714286</v>
      </c>
      <c r="M67" s="17"/>
    </row>
    <row r="68" spans="1:13" customFormat="1" ht="14.45" x14ac:dyDescent="0.35">
      <c r="A68" s="8">
        <v>42956</v>
      </c>
      <c r="B68" s="5"/>
      <c r="C68" s="11"/>
      <c r="D68" s="13">
        <f>IF(NOT(ISBLANK($A68)),SUM(B$3:B68)-SUM(C$3:C68),"")</f>
        <v>618.08999999999969</v>
      </c>
      <c r="E68" s="5"/>
      <c r="F68" s="11">
        <v>33</v>
      </c>
      <c r="G68" s="13">
        <f>IF(NOT(ISBLANK($A68)),SUM(E$3:E68)-SUM(F$3:F68),"")</f>
        <v>-842.24000000000024</v>
      </c>
      <c r="H68" s="6" t="b">
        <v>1</v>
      </c>
      <c r="I68" s="15"/>
      <c r="J68" s="6" t="s">
        <v>42</v>
      </c>
      <c r="K68" s="102">
        <f>IF(NOT(ISBLANK(A68)),SUMIF($J$3:$J68,$J68,$B$3:$B68)-SUMIF($J$3:$J68,$J68,$C$3:$C68)+IF(J68&lt;&gt;"Transfer",SUMIF($J$3:$J68,$J68,$F$3:$F68)-SUMIF($J$3:$J68,$J68,$E$3:$E68),0),"")</f>
        <v>136.44999999999999</v>
      </c>
      <c r="L68" s="102">
        <f t="shared" ref="L68:L122" si="1">IF(NOT(ISBLANK(A68)),IFERROR(K68/ROUND((A68-$A$3)/14,0),""),"")</f>
        <v>19.49285714285714</v>
      </c>
      <c r="M68" s="17" t="s">
        <v>43</v>
      </c>
    </row>
    <row r="69" spans="1:13" customFormat="1" ht="14.45" x14ac:dyDescent="0.35">
      <c r="A69" s="7">
        <v>42957</v>
      </c>
      <c r="B69" s="3"/>
      <c r="C69" s="10">
        <v>355.93</v>
      </c>
      <c r="D69" s="12">
        <f>IF(NOT(ISBLANK($A69)),SUM(B$3:B69)-SUM(C$3:C69),"")</f>
        <v>262.15999999999985</v>
      </c>
      <c r="E69" s="3"/>
      <c r="F69" s="10"/>
      <c r="G69" s="12">
        <f>IF(NOT(ISBLANK($A69)),SUM(E$3:E69)-SUM(F$3:F69),"")</f>
        <v>-842.24000000000024</v>
      </c>
      <c r="H69" s="4" t="b">
        <v>1</v>
      </c>
      <c r="I69" s="14"/>
      <c r="J69" s="4" t="s">
        <v>38</v>
      </c>
      <c r="K69" s="109">
        <f>IF(NOT(ISBLANK(A69)),SUMIF($J$3:$J69,$J69,$B$3:$B69)-SUMIF($J$3:$J69,$J69,$C$3:$C69)+IF(J69&lt;&gt;"Transfer",SUMIF($J$3:$J69,$J69,$F$3:$F69)-SUMIF($J$3:$J69,$J69,$E$3:$E69),0),"")</f>
        <v>-355.93</v>
      </c>
      <c r="L69" s="109">
        <f t="shared" si="1"/>
        <v>-50.847142857142856</v>
      </c>
      <c r="M69" s="16" t="s">
        <v>40</v>
      </c>
    </row>
    <row r="70" spans="1:13" customFormat="1" ht="14.45" x14ac:dyDescent="0.35">
      <c r="A70" s="7">
        <v>42957</v>
      </c>
      <c r="B70" s="3"/>
      <c r="C70" s="10">
        <v>351.77</v>
      </c>
      <c r="D70" s="12">
        <f>IF(NOT(ISBLANK($A70)),SUM(B$3:B70)-SUM(C$3:C70),"")</f>
        <v>-89.610000000000582</v>
      </c>
      <c r="E70" s="3">
        <v>351.77</v>
      </c>
      <c r="F70" s="10"/>
      <c r="G70" s="12">
        <f>IF(NOT(ISBLANK($A70)),SUM(E$3:E70)-SUM(F$3:F70),"")</f>
        <v>-490.47000000000025</v>
      </c>
      <c r="H70" s="4"/>
      <c r="I70" s="14"/>
      <c r="J70" s="4" t="s">
        <v>18</v>
      </c>
      <c r="K70" s="109">
        <f>IF(NOT(ISBLANK(A70)),SUMIF($J$3:$J70,$J70,$B$3:$B70)-SUMIF($J$3:$J70,$J70,$C$3:$C70)+IF(J70&lt;&gt;"Transfer",SUMIF($J$3:$J70,$J70,$F$3:$F70)-SUMIF($J$3:$J70,$J70,$E$3:$E70),0),"")</f>
        <v>-3206.25</v>
      </c>
      <c r="L70" s="109">
        <f t="shared" si="1"/>
        <v>-458.03571428571428</v>
      </c>
      <c r="M70" s="16"/>
    </row>
    <row r="71" spans="1:13" customFormat="1" ht="14.45" x14ac:dyDescent="0.35">
      <c r="A71" s="7">
        <v>42957</v>
      </c>
      <c r="B71" s="3">
        <v>400</v>
      </c>
      <c r="C71" s="10"/>
      <c r="D71" s="12">
        <f>IF(NOT(ISBLANK($A71)),SUM(B$3:B71)-SUM(C$3:C71),"")</f>
        <v>310.38999999999942</v>
      </c>
      <c r="E71" s="3"/>
      <c r="F71" s="10"/>
      <c r="G71" s="12">
        <f>IF(NOT(ISBLANK($A71)),SUM(E$3:E71)-SUM(F$3:F71),"")</f>
        <v>-490.47000000000025</v>
      </c>
      <c r="H71" s="4"/>
      <c r="I71" s="14"/>
      <c r="J71" s="4" t="s">
        <v>9</v>
      </c>
      <c r="K71" s="109">
        <f>IF(NOT(ISBLANK(A71)),SUMIF($J$3:$J71,$J71,$B$3:$B71)-SUMIF($J$3:$J71,$J71,$C$3:$C71)+IF(J71&lt;&gt;"Transfer",SUMIF($J$3:$J71,$J71,$F$3:$F71)-SUMIF($J$3:$J71,$J71,$E$3:$E71),0),"")</f>
        <v>5088.84</v>
      </c>
      <c r="L71" s="109">
        <f t="shared" si="1"/>
        <v>726.97714285714289</v>
      </c>
      <c r="M71" s="16"/>
    </row>
    <row r="72" spans="1:13" customFormat="1" ht="14.45" x14ac:dyDescent="0.35">
      <c r="A72" s="8">
        <v>42957</v>
      </c>
      <c r="B72" s="5"/>
      <c r="C72" s="11">
        <v>5</v>
      </c>
      <c r="D72" s="13">
        <f>IF(NOT(ISBLANK($A72)),SUM(B$3:B72)-SUM(C$3:C72),"")</f>
        <v>305.38999999999942</v>
      </c>
      <c r="E72" s="5"/>
      <c r="F72" s="11"/>
      <c r="G72" s="13">
        <f>IF(NOT(ISBLANK($A72)),SUM(E$3:E72)-SUM(F$3:F72),"")</f>
        <v>-490.47000000000025</v>
      </c>
      <c r="H72" s="6" t="b">
        <v>1</v>
      </c>
      <c r="I72" s="15"/>
      <c r="J72" s="6" t="s">
        <v>28</v>
      </c>
      <c r="K72" s="102">
        <f>IF(NOT(ISBLANK(A72)),SUMIF($J$3:$J72,$J72,$B$3:$B72)-SUMIF($J$3:$J72,$J72,$C$3:$C72)+IF(J72&lt;&gt;"Transfer",SUMIF($J$3:$J72,$J72,$F$3:$F72)-SUMIF($J$3:$J72,$J72,$E$3:$E72),0),"")</f>
        <v>30.5</v>
      </c>
      <c r="L72" s="102">
        <f t="shared" si="1"/>
        <v>4.3571428571428568</v>
      </c>
      <c r="M72" s="17" t="s">
        <v>44</v>
      </c>
    </row>
    <row r="73" spans="1:13" customFormat="1" ht="14.45" x14ac:dyDescent="0.35">
      <c r="A73" s="8">
        <v>42957</v>
      </c>
      <c r="B73" s="5"/>
      <c r="C73" s="11">
        <v>222.42</v>
      </c>
      <c r="D73" s="13">
        <f>IF(NOT(ISBLANK($A73)),SUM(B$3:B73)-SUM(C$3:C73),"")</f>
        <v>82.969999999999345</v>
      </c>
      <c r="E73" s="5"/>
      <c r="F73" s="11"/>
      <c r="G73" s="13">
        <f>IF(NOT(ISBLANK($A73)),SUM(E$3:E73)-SUM(F$3:F73),"")</f>
        <v>-490.47000000000025</v>
      </c>
      <c r="H73" s="6"/>
      <c r="I73" s="15"/>
      <c r="J73" s="6" t="s">
        <v>14</v>
      </c>
      <c r="K73" s="102">
        <f>IF(NOT(ISBLANK(A73)),SUMIF($J$3:$J73,$J73,$B$3:$B73)-SUMIF($J$3:$J73,$J73,$C$3:$C73)+IF(J73&lt;&gt;"Transfer",SUMIF($J$3:$J73,$J73,$F$3:$F73)-SUMIF($J$3:$J73,$J73,$E$3:$E73),0),"")</f>
        <v>-112.09999999999991</v>
      </c>
      <c r="L73" s="102">
        <f t="shared" si="1"/>
        <v>-16.014285714285702</v>
      </c>
      <c r="M73" s="17"/>
    </row>
    <row r="74" spans="1:13" customFormat="1" ht="14.45" x14ac:dyDescent="0.35">
      <c r="A74" s="8">
        <v>42962</v>
      </c>
      <c r="B74" s="5">
        <v>450</v>
      </c>
      <c r="C74" s="11"/>
      <c r="D74" s="13">
        <f>IF(NOT(ISBLANK($A74)),SUM(B$3:B75)-SUM(C$3:C75),"")</f>
        <v>532.96999999999935</v>
      </c>
      <c r="E74" s="5"/>
      <c r="F74" s="11"/>
      <c r="G74" s="13">
        <f>IF(NOT(ISBLANK($A74)),SUM(E$3:E75)-SUM(F$3:F75),"")</f>
        <v>-678.05000000000018</v>
      </c>
      <c r="H74" s="6"/>
      <c r="I74" s="15"/>
      <c r="J74" s="6" t="s">
        <v>9</v>
      </c>
      <c r="K74" s="102">
        <f>IF(NOT(ISBLANK(A74)),SUMIF($J$3:$J74,$J74,$B$3:$B74)-SUMIF($J$3:$J74,$J74,$C$3:$C74)+IF(J74&lt;&gt;"Transfer",SUMIF($J$3:$J74,$J74,$F$3:$F74)-SUMIF($J$3:$J74,$J74,$E$3:$E74),0),"")</f>
        <v>5538.84</v>
      </c>
      <c r="L74" s="102">
        <f t="shared" si="1"/>
        <v>692.35500000000002</v>
      </c>
      <c r="M74" s="17"/>
    </row>
    <row r="75" spans="1:13" customFormat="1" ht="14.45" x14ac:dyDescent="0.35">
      <c r="A75" s="7">
        <v>42964</v>
      </c>
      <c r="B75" s="3"/>
      <c r="C75" s="10"/>
      <c r="D75" s="12">
        <f>IF(NOT(ISBLANK($A75)),SUM(B$3:B75)-SUM(C$3:C75),"")</f>
        <v>532.96999999999935</v>
      </c>
      <c r="E75" s="3"/>
      <c r="F75" s="10">
        <v>187.58</v>
      </c>
      <c r="G75" s="12">
        <f>IF(NOT(ISBLANK($A75)),SUM(E$3:E75)-SUM(F$3:F75),"")</f>
        <v>-678.05000000000018</v>
      </c>
      <c r="H75" s="4" t="b">
        <v>1</v>
      </c>
      <c r="I75" s="14">
        <v>64493</v>
      </c>
      <c r="J75" s="4" t="s">
        <v>45</v>
      </c>
      <c r="K75" s="109">
        <f>IF(NOT(ISBLANK(A75)),SUMIF($J$3:$J75,$J75,$B$3:$B75)-SUMIF($J$3:$J75,$J75,$C$3:$C75)+IF(J75&lt;&gt;"Transfer",SUMIF($J$3:$J75,$J75,$F$3:$F75)-SUMIF($J$3:$J75,$J75,$E$3:$E75),0),"")</f>
        <v>187.58</v>
      </c>
      <c r="L75" s="109">
        <f t="shared" si="1"/>
        <v>23.447500000000002</v>
      </c>
      <c r="M75" s="16"/>
    </row>
    <row r="76" spans="1:13" customFormat="1" ht="14.45" x14ac:dyDescent="0.35">
      <c r="A76" s="7">
        <v>42963</v>
      </c>
      <c r="B76" s="3"/>
      <c r="C76" s="10"/>
      <c r="D76" s="12">
        <f>IF(NOT(ISBLANK($A76)),SUM(B$3:B76)-SUM(C$3:C76),"")</f>
        <v>532.96999999999935</v>
      </c>
      <c r="E76" s="3"/>
      <c r="F76" s="10">
        <v>52.66</v>
      </c>
      <c r="G76" s="12">
        <f>IF(NOT(ISBLANK($A76)),SUM(E$3:E76)-SUM(F$3:F76),"")</f>
        <v>-730.71000000000049</v>
      </c>
      <c r="H76" s="4" t="b">
        <v>1</v>
      </c>
      <c r="I76" s="14">
        <v>64709</v>
      </c>
      <c r="J76" s="4" t="s">
        <v>10</v>
      </c>
      <c r="K76" s="109">
        <f>IF(NOT(ISBLANK(A76)),SUMIF($J$3:$J76,$J76,$B$3:$B76)-SUMIF($J$3:$J76,$J76,$C$3:$C76)+IF(J76&lt;&gt;"Transfer",SUMIF($J$3:$J76,$J76,$F$3:$F76)-SUMIF($J$3:$J76,$J76,$E$3:$E76),0),"")</f>
        <v>739.6400000000001</v>
      </c>
      <c r="L76" s="109">
        <f t="shared" si="1"/>
        <v>92.455000000000013</v>
      </c>
      <c r="M76" s="16"/>
    </row>
    <row r="77" spans="1:13" customFormat="1" ht="14.45" x14ac:dyDescent="0.35">
      <c r="A77" s="7">
        <v>42970</v>
      </c>
      <c r="B77" s="3"/>
      <c r="C77" s="10"/>
      <c r="D77" s="12">
        <f>IF(NOT(ISBLANK($A77)),SUM(B$3:B77)-SUM(C$3:C77),"")</f>
        <v>532.96999999999935</v>
      </c>
      <c r="E77" s="3"/>
      <c r="F77" s="10">
        <v>0.36</v>
      </c>
      <c r="G77" s="12">
        <f>IF(NOT(ISBLANK($A77)),SUM(E$3:E77)-SUM(F$3:F77),"")</f>
        <v>-731.07000000000016</v>
      </c>
      <c r="H77" s="4" t="b">
        <v>1</v>
      </c>
      <c r="I77" s="14">
        <v>65220</v>
      </c>
      <c r="J77" s="4" t="s">
        <v>10</v>
      </c>
      <c r="K77" s="109">
        <f>IF(NOT(ISBLANK(A77)),SUMIF($J$3:$J77,$J77,$B$3:$B77)-SUMIF($J$3:$J77,$J77,$C$3:$C77)+IF(J77&lt;&gt;"Transfer",SUMIF($J$3:$J77,$J77,$F$3:$F77)-SUMIF($J$3:$J77,$J77,$E$3:$E77),0),"")</f>
        <v>740.00000000000011</v>
      </c>
      <c r="L77" s="109">
        <f t="shared" si="1"/>
        <v>92.500000000000014</v>
      </c>
      <c r="M77" s="16"/>
    </row>
    <row r="78" spans="1:13" customFormat="1" ht="14.45" x14ac:dyDescent="0.35">
      <c r="A78" s="8">
        <v>42970</v>
      </c>
      <c r="B78" s="5"/>
      <c r="C78" s="11"/>
      <c r="D78" s="13">
        <f>IF(NOT(ISBLANK($A78)),SUM(B$3:B78)-SUM(C$3:C78),"")</f>
        <v>532.96999999999935</v>
      </c>
      <c r="E78" s="5"/>
      <c r="F78" s="11">
        <v>53</v>
      </c>
      <c r="G78" s="13">
        <f>IF(NOT(ISBLANK($A78)),SUM(E$3:E78)-SUM(F$3:F78),"")</f>
        <v>-784.07000000000016</v>
      </c>
      <c r="H78" s="6" t="b">
        <v>1</v>
      </c>
      <c r="I78" s="15">
        <v>65220</v>
      </c>
      <c r="J78" s="6" t="s">
        <v>10</v>
      </c>
      <c r="K78" s="102">
        <f>IF(NOT(ISBLANK(A78)),SUMIF($J$3:$J78,$J78,$B$3:$B78)-SUMIF($J$3:$J78,$J78,$C$3:$C78)+IF(J78&lt;&gt;"Transfer",SUMIF($J$3:$J78,$J78,$F$3:$F78)-SUMIF($J$3:$J78,$J78,$E$3:$E78),0),"")</f>
        <v>793.00000000000011</v>
      </c>
      <c r="L78" s="102">
        <f t="shared" si="1"/>
        <v>99.125000000000014</v>
      </c>
      <c r="M78" s="17"/>
    </row>
    <row r="79" spans="1:13" customFormat="1" ht="14.45" x14ac:dyDescent="0.35">
      <c r="A79" s="8">
        <v>42970</v>
      </c>
      <c r="B79" s="5"/>
      <c r="C79" s="11"/>
      <c r="D79" s="13">
        <f>IF(NOT(ISBLANK($A79)),SUM(B$3:B79)-SUM(C$3:C79),"")</f>
        <v>532.96999999999935</v>
      </c>
      <c r="E79" s="5"/>
      <c r="F79" s="11">
        <v>13.52</v>
      </c>
      <c r="G79" s="13">
        <f>IF(NOT(ISBLANK($A79)),SUM(E$3:E79)-SUM(F$3:F79),"")</f>
        <v>-797.5900000000006</v>
      </c>
      <c r="H79" s="6" t="b">
        <v>1</v>
      </c>
      <c r="I79" s="15">
        <v>65764</v>
      </c>
      <c r="J79" s="6" t="s">
        <v>10</v>
      </c>
      <c r="K79" s="102">
        <f>IF(NOT(ISBLANK(A79)),SUMIF($J$3:$J79,$J79,$B$3:$B79)-SUMIF($J$3:$J79,$J79,$C$3:$C79)+IF(J79&lt;&gt;"Transfer",SUMIF($J$3:$J79,$J79,$F$3:$F79)-SUMIF($J$3:$J79,$J79,$E$3:$E79),0),"")</f>
        <v>806.5200000000001</v>
      </c>
      <c r="L79" s="102">
        <f t="shared" si="1"/>
        <v>100.81500000000001</v>
      </c>
      <c r="M79" s="17"/>
    </row>
    <row r="80" spans="1:13" customFormat="1" ht="14.45" x14ac:dyDescent="0.35">
      <c r="A80" s="8">
        <v>42970</v>
      </c>
      <c r="B80" s="5"/>
      <c r="C80" s="11"/>
      <c r="D80" s="13">
        <f>IF(NOT(ISBLANK($A80)),SUM(B$3:B80)-SUM(C$3:C80),"")</f>
        <v>532.96999999999935</v>
      </c>
      <c r="E80" s="5"/>
      <c r="F80" s="11">
        <v>13.63</v>
      </c>
      <c r="G80" s="13">
        <f>IF(NOT(ISBLANK($A80)),SUM(E$3:E80)-SUM(F$3:F80),"")</f>
        <v>-811.22000000000071</v>
      </c>
      <c r="H80" s="6" t="b">
        <v>1</v>
      </c>
      <c r="I80" s="15">
        <v>65764</v>
      </c>
      <c r="J80" s="6" t="s">
        <v>10</v>
      </c>
      <c r="K80" s="102">
        <f>IF(NOT(ISBLANK(A80)),SUMIF($J$3:$J80,$J80,$B$3:$B80)-SUMIF($J$3:$J80,$J80,$C$3:$C80)+IF(J80&lt;&gt;"Transfer",SUMIF($J$3:$J80,$J80,$F$3:$F80)-SUMIF($J$3:$J80,$J80,$E$3:$E80),0),"")</f>
        <v>820.15000000000009</v>
      </c>
      <c r="L80" s="102">
        <f t="shared" si="1"/>
        <v>102.51875000000001</v>
      </c>
      <c r="M80" s="17"/>
    </row>
    <row r="81" spans="1:13" customFormat="1" ht="14.45" x14ac:dyDescent="0.35">
      <c r="A81" s="7">
        <v>42971</v>
      </c>
      <c r="B81" s="3"/>
      <c r="C81" s="10">
        <v>222.42</v>
      </c>
      <c r="D81" s="12">
        <f>IF(NOT(ISBLANK($A81)),SUM(B$3:B81)-SUM(C$3:C81),"")</f>
        <v>310.54999999999927</v>
      </c>
      <c r="E81" s="3"/>
      <c r="F81" s="10"/>
      <c r="G81" s="12">
        <f>IF(NOT(ISBLANK($A81)),SUM(E$3:E81)-SUM(F$3:F81),"")</f>
        <v>-811.22000000000071</v>
      </c>
      <c r="H81" s="4"/>
      <c r="I81" s="14"/>
      <c r="J81" s="4" t="s">
        <v>14</v>
      </c>
      <c r="K81" s="109">
        <f>IF(NOT(ISBLANK(A81)),SUMIF($J$3:$J81,$J81,$B$3:$B81)-SUMIF($J$3:$J81,$J81,$C$3:$C81)+IF(J81&lt;&gt;"Transfer",SUMIF($J$3:$J81,$J81,$F$3:$F81)-SUMIF($J$3:$J81,$J81,$E$3:$E81),0),"")</f>
        <v>-334.52</v>
      </c>
      <c r="L81" s="109">
        <f t="shared" si="1"/>
        <v>-41.814999999999998</v>
      </c>
      <c r="M81" s="16"/>
    </row>
    <row r="82" spans="1:13" customFormat="1" ht="14.45" x14ac:dyDescent="0.35">
      <c r="A82" s="7">
        <v>42974</v>
      </c>
      <c r="B82" s="3"/>
      <c r="C82" s="10"/>
      <c r="D82" s="12">
        <f>IF(NOT(ISBLANK($A82)),SUM(B$3:B82)-SUM(C$3:C82),"")</f>
        <v>310.54999999999927</v>
      </c>
      <c r="E82" s="3"/>
      <c r="F82" s="10">
        <v>38.4</v>
      </c>
      <c r="G82" s="12">
        <f>IF(NOT(ISBLANK($A82)),SUM(E$3:E82)-SUM(F$3:F82),"")</f>
        <v>-849.62000000000035</v>
      </c>
      <c r="H82" s="4" t="b">
        <v>1</v>
      </c>
      <c r="I82" s="14">
        <v>65764</v>
      </c>
      <c r="J82" s="4" t="s">
        <v>10</v>
      </c>
      <c r="K82" s="109">
        <f>IF(NOT(ISBLANK(A82)),SUMIF($J$3:$J82,$J82,$B$3:$B82)-SUMIF($J$3:$J82,$J82,$C$3:$C82)+IF(J82&lt;&gt;"Transfer",SUMIF($J$3:$J82,$J82,$F$3:$F82)-SUMIF($J$3:$J82,$J82,$E$3:$E82),0),"")</f>
        <v>858.55000000000007</v>
      </c>
      <c r="L82" s="109">
        <f t="shared" si="1"/>
        <v>107.31875000000001</v>
      </c>
      <c r="M82" s="16" t="str">
        <f>"Car wash portion:"&amp;TEXT(F82-22.59,"$#,##0.00")</f>
        <v>Car wash portion:$15.81</v>
      </c>
    </row>
    <row r="83" spans="1:13" customFormat="1" ht="14.45" x14ac:dyDescent="0.35">
      <c r="A83" s="7">
        <v>42976</v>
      </c>
      <c r="B83" s="3"/>
      <c r="C83" s="10">
        <v>310.55</v>
      </c>
      <c r="D83" s="12">
        <f>IF(NOT(ISBLANK($A83)),SUM(B$3:B83)-SUM(C$3:C83),"")</f>
        <v>-9.0949470177292824E-13</v>
      </c>
      <c r="E83" s="3">
        <v>310.55</v>
      </c>
      <c r="F83" s="10"/>
      <c r="G83" s="12">
        <f>IF(NOT(ISBLANK($A83)),SUM(E$3:E83)-SUM(F$3:F83),"")</f>
        <v>-539.07000000000016</v>
      </c>
      <c r="H83" s="4"/>
      <c r="I83" s="14"/>
      <c r="J83" s="4" t="s">
        <v>18</v>
      </c>
      <c r="K83" s="109">
        <f>IF(NOT(ISBLANK(A83)),SUMIF($J$3:$J83,$J83,$B$3:$B83)-SUMIF($J$3:$J83,$J83,$C$3:$C83)+IF(J83&lt;&gt;"Transfer",SUMIF($J$3:$J83,$J83,$F$3:$F83)-SUMIF($J$3:$J83,$J83,$E$3:$E83),0),"")</f>
        <v>-3516.8</v>
      </c>
      <c r="L83" s="109">
        <f t="shared" si="1"/>
        <v>-390.75555555555559</v>
      </c>
      <c r="M83" s="16"/>
    </row>
    <row r="84" spans="1:13" customFormat="1" ht="14.45" x14ac:dyDescent="0.35">
      <c r="A84" s="8">
        <v>42977</v>
      </c>
      <c r="B84" s="5">
        <v>450</v>
      </c>
      <c r="C84" s="11"/>
      <c r="D84" s="13">
        <f>IF(NOT(ISBLANK($A84)),SUM(B$3:B84)-SUM(C$3:C84),"")</f>
        <v>449.99999999999909</v>
      </c>
      <c r="E84" s="5"/>
      <c r="F84" s="11"/>
      <c r="G84" s="13">
        <f>IF(NOT(ISBLANK($A84)),SUM(E$3:E84)-SUM(F$3:F84),"")</f>
        <v>-539.07000000000016</v>
      </c>
      <c r="H84" s="6"/>
      <c r="I84" s="15"/>
      <c r="J84" s="6" t="s">
        <v>9</v>
      </c>
      <c r="K84" s="102">
        <f>IF(NOT(ISBLANK(A84)),SUMIF($J$3:$J84,$J84,$B$3:$B84)-SUMIF($J$3:$J84,$J84,$C$3:$C84)+IF(J84&lt;&gt;"Transfer",SUMIF($J$3:$J84,$J84,$F$3:$F84)-SUMIF($J$3:$J84,$J84,$E$3:$E84),0),"")</f>
        <v>5988.84</v>
      </c>
      <c r="L84" s="102">
        <f t="shared" si="1"/>
        <v>665.42666666666673</v>
      </c>
      <c r="M84" s="17"/>
    </row>
    <row r="85" spans="1:13" customFormat="1" ht="14.45" x14ac:dyDescent="0.35">
      <c r="A85" s="8">
        <v>42983</v>
      </c>
      <c r="B85" s="5"/>
      <c r="C85" s="11"/>
      <c r="D85" s="13">
        <f>IF(NOT(ISBLANK($A85)),SUM(B$3:B85)-SUM(C$3:C85),"")</f>
        <v>449.99999999999909</v>
      </c>
      <c r="E85" s="5"/>
      <c r="F85" s="11">
        <v>3</v>
      </c>
      <c r="G85" s="13">
        <f>IF(NOT(ISBLANK($A85)),SUM(E$3:E85)-SUM(F$3:F85),"")</f>
        <v>-542.07000000000016</v>
      </c>
      <c r="H85" s="6"/>
      <c r="I85" s="15"/>
      <c r="J85" s="6" t="s">
        <v>28</v>
      </c>
      <c r="K85" s="102">
        <f>IF(NOT(ISBLANK(A85)),SUMIF($J$3:$J85,$J85,$B$3:$B85)-SUMIF($J$3:$J85,$J85,$C$3:$C85)+IF(J85&lt;&gt;"Transfer",SUMIF($J$3:$J85,$J85,$F$3:$F85)-SUMIF($J$3:$J85,$J85,$E$3:$E85),0),"")</f>
        <v>33.5</v>
      </c>
      <c r="L85" s="102">
        <f t="shared" si="1"/>
        <v>3.7222222222222223</v>
      </c>
      <c r="M85" s="17"/>
    </row>
    <row r="86" spans="1:13" customFormat="1" ht="14.45" x14ac:dyDescent="0.35">
      <c r="A86" s="8">
        <v>42983</v>
      </c>
      <c r="B86" s="5"/>
      <c r="C86" s="11">
        <v>144.61000000000001</v>
      </c>
      <c r="D86" s="13">
        <f>IF(NOT(ISBLANK($A86)),SUM(B$3:B86)-SUM(C$3:C86),"")</f>
        <v>305.38999999999942</v>
      </c>
      <c r="E86" s="5">
        <v>144.61000000000001</v>
      </c>
      <c r="F86" s="11"/>
      <c r="G86" s="13">
        <f>IF(NOT(ISBLANK($A86)),SUM(E$3:E86)-SUM(F$3:F86),"")</f>
        <v>-397.46000000000004</v>
      </c>
      <c r="H86" s="6"/>
      <c r="I86" s="15"/>
      <c r="J86" s="6" t="s">
        <v>18</v>
      </c>
      <c r="K86" s="102">
        <f>IF(NOT(ISBLANK(A86)),SUMIF($J$3:$J86,$J86,$B$3:$B86)-SUMIF($J$3:$J86,$J86,$C$3:$C86)+IF(J86&lt;&gt;"Transfer",SUMIF($J$3:$J86,$J86,$F$3:$F86)-SUMIF($J$3:$J86,$J86,$E$3:$E86),0),"")</f>
        <v>-3661.4100000000003</v>
      </c>
      <c r="L86" s="102">
        <f t="shared" si="1"/>
        <v>-406.82333333333338</v>
      </c>
      <c r="M86" s="17"/>
    </row>
    <row r="87" spans="1:13" customFormat="1" ht="14.45" x14ac:dyDescent="0.35">
      <c r="A87" s="7">
        <v>42985</v>
      </c>
      <c r="B87" s="3"/>
      <c r="C87" s="10">
        <v>82.97</v>
      </c>
      <c r="D87" s="12">
        <f>IF(NOT(ISBLANK($A87)),SUM(B$3:B87)-SUM(C$3:C87),"")</f>
        <v>222.41999999999916</v>
      </c>
      <c r="E87" s="3"/>
      <c r="F87" s="10"/>
      <c r="G87" s="12">
        <f>IF(NOT(ISBLANK($A87)),SUM(E$3:E87)-SUM(F$3:F87),"")</f>
        <v>-397.46000000000004</v>
      </c>
      <c r="H87" s="4"/>
      <c r="I87" s="14"/>
      <c r="J87" s="4" t="s">
        <v>13</v>
      </c>
      <c r="K87" s="109">
        <f>IF(NOT(ISBLANK(A87)),SUMIF($J$3:$J87,$J87,$B$3:$B87)-SUMIF($J$3:$J87,$J87,$C$3:$C87)+IF(J87&lt;&gt;"Transfer",SUMIF($J$3:$J87,$J87,$F$3:$F87)-SUMIF($J$3:$J87,$J87,$E$3:$E87),0),"")</f>
        <v>-248.91</v>
      </c>
      <c r="L87" s="109">
        <f t="shared" si="1"/>
        <v>-27.656666666666666</v>
      </c>
      <c r="M87" s="16"/>
    </row>
    <row r="88" spans="1:13" customFormat="1" ht="14.45" x14ac:dyDescent="0.35">
      <c r="A88" s="7">
        <v>42985</v>
      </c>
      <c r="B88" s="3"/>
      <c r="C88" s="10"/>
      <c r="D88" s="12">
        <f>IF(NOT(ISBLANK($A88)),SUM(B$3:B88)-SUM(C$3:C88),"")</f>
        <v>222.41999999999916</v>
      </c>
      <c r="E88" s="3"/>
      <c r="F88" s="10">
        <v>75</v>
      </c>
      <c r="G88" s="12">
        <f>IF(NOT(ISBLANK($A88)),SUM(E$3:E88)-SUM(F$3:F88),"")</f>
        <v>-472.46000000000004</v>
      </c>
      <c r="H88" s="4" t="b">
        <v>1</v>
      </c>
      <c r="I88" s="14">
        <v>66364</v>
      </c>
      <c r="J88" s="4" t="s">
        <v>10</v>
      </c>
      <c r="K88" s="109">
        <f>IF(NOT(ISBLANK(A88)),SUMIF($J$3:$J88,$J88,$B$3:$B88)-SUMIF($J$3:$J88,$J88,$C$3:$C88)+IF(J88&lt;&gt;"Transfer",SUMIF($J$3:$J88,$J88,$F$3:$F88)-SUMIF($J$3:$J88,$J88,$E$3:$E88),0),"")</f>
        <v>933.55000000000007</v>
      </c>
      <c r="L88" s="109">
        <f t="shared" si="1"/>
        <v>103.72777777777779</v>
      </c>
      <c r="M88" s="16"/>
    </row>
    <row r="89" spans="1:13" customFormat="1" ht="14.45" x14ac:dyDescent="0.35">
      <c r="A89" s="7">
        <v>42987</v>
      </c>
      <c r="B89" s="3"/>
      <c r="C89" s="10">
        <v>222.42</v>
      </c>
      <c r="D89" s="12">
        <f>IF(NOT(ISBLANK($A89)),SUM(B$3:B89)-SUM(C$3:C89),"")</f>
        <v>-9.0949470177292824E-13</v>
      </c>
      <c r="E89" s="3"/>
      <c r="F89" s="10"/>
      <c r="G89" s="12">
        <f>IF(NOT(ISBLANK($A89)),SUM(E$3:E89)-SUM(F$3:F89),"")</f>
        <v>-472.46000000000004</v>
      </c>
      <c r="H89" s="4"/>
      <c r="I89" s="14"/>
      <c r="J89" s="4" t="s">
        <v>14</v>
      </c>
      <c r="K89" s="109">
        <f>IF(NOT(ISBLANK(A89)),SUMIF($J$3:$J89,$J89,$B$3:$B89)-SUMIF($J$3:$J89,$J89,$C$3:$C89)+IF(J89&lt;&gt;"Transfer",SUMIF($J$3:$J89,$J89,$F$3:$F89)-SUMIF($J$3:$J89,$J89,$E$3:$E89),0),"")</f>
        <v>-556.94000000000005</v>
      </c>
      <c r="L89" s="109">
        <f t="shared" si="1"/>
        <v>-61.882222222222225</v>
      </c>
      <c r="M89" s="16"/>
    </row>
    <row r="90" spans="1:13" customFormat="1" ht="14.45" x14ac:dyDescent="0.35">
      <c r="A90" s="8">
        <v>42992</v>
      </c>
      <c r="B90" s="5"/>
      <c r="C90" s="11"/>
      <c r="D90" s="13">
        <f>IF(NOT(ISBLANK($A90)),SUM(B$3:B90)-SUM(C$3:C90),"")</f>
        <v>-9.0949470177292824E-13</v>
      </c>
      <c r="E90" s="5"/>
      <c r="F90" s="11">
        <v>42.93</v>
      </c>
      <c r="G90" s="13">
        <f>IF(NOT(ISBLANK($A90)),SUM(E$3:E90)-SUM(F$3:F90),"")</f>
        <v>-515.39000000000033</v>
      </c>
      <c r="H90" s="6" t="b">
        <v>1</v>
      </c>
      <c r="I90" s="15">
        <v>66796</v>
      </c>
      <c r="J90" s="6" t="s">
        <v>39</v>
      </c>
      <c r="K90" s="102">
        <f>IF(NOT(ISBLANK(A90)),SUMIF($J$3:$J90,$J90,$B$3:$B90)-SUMIF($J$3:$J90,$J90,$C$3:$C90)+IF(J90&lt;&gt;"Transfer",SUMIF($J$3:$J90,$J90,$F$3:$F90)-SUMIF($J$3:$J90,$J90,$E$3:$E90),0),"")</f>
        <v>80.210000000000008</v>
      </c>
      <c r="L90" s="102">
        <f t="shared" si="1"/>
        <v>8.0210000000000008</v>
      </c>
      <c r="M90" s="17"/>
    </row>
    <row r="91" spans="1:13" customFormat="1" ht="14.45" x14ac:dyDescent="0.35">
      <c r="A91" s="8">
        <v>42995</v>
      </c>
      <c r="B91" s="5"/>
      <c r="C91" s="11"/>
      <c r="D91" s="13">
        <f>IF(NOT(ISBLANK($A91)),SUM(B$3:B91)-SUM(C$3:C91),"")</f>
        <v>-9.0949470177292824E-13</v>
      </c>
      <c r="E91" s="5"/>
      <c r="F91" s="11">
        <v>67</v>
      </c>
      <c r="G91" s="13">
        <f>IF(NOT(ISBLANK($A91)),SUM(E$3:E91)-SUM(F$3:F91),"")</f>
        <v>-582.39000000000033</v>
      </c>
      <c r="H91" s="6" t="b">
        <v>1</v>
      </c>
      <c r="I91" s="15">
        <v>66883</v>
      </c>
      <c r="J91" s="6" t="s">
        <v>10</v>
      </c>
      <c r="K91" s="102">
        <f>IF(NOT(ISBLANK(A91)),SUMIF($J$3:$J91,$J91,$B$3:$B91)-SUMIF($J$3:$J91,$J91,$C$3:$C91)+IF(J91&lt;&gt;"Transfer",SUMIF($J$3:$J91,$J91,$F$3:$F91)-SUMIF($J$3:$J91,$J91,$E$3:$E91),0),"")</f>
        <v>1000.5500000000001</v>
      </c>
      <c r="L91" s="102">
        <f t="shared" si="1"/>
        <v>100.05500000000001</v>
      </c>
      <c r="M91" s="17"/>
    </row>
    <row r="92" spans="1:13" customFormat="1" ht="14.45" x14ac:dyDescent="0.35">
      <c r="A92" s="8">
        <v>42996</v>
      </c>
      <c r="B92" s="5">
        <v>450</v>
      </c>
      <c r="C92" s="11"/>
      <c r="D92" s="13">
        <f>IF(NOT(ISBLANK($A92)),SUM(B$3:B92)-SUM(C$3:C92),"")</f>
        <v>449.99999999999909</v>
      </c>
      <c r="E92" s="5"/>
      <c r="F92" s="11"/>
      <c r="G92" s="13">
        <f>IF(NOT(ISBLANK($A92)),SUM(E$3:E92)-SUM(F$3:F92),"")</f>
        <v>-582.39000000000033</v>
      </c>
      <c r="H92" s="6"/>
      <c r="I92" s="15"/>
      <c r="J92" s="6" t="s">
        <v>9</v>
      </c>
      <c r="K92" s="102">
        <f>IF(NOT(ISBLANK(A92)),SUMIF($J$3:$J92,$J92,$B$3:$B92)-SUMIF($J$3:$J92,$J92,$C$3:$C92)+IF(J92&lt;&gt;"Transfer",SUMIF($J$3:$J92,$J92,$F$3:$F92)-SUMIF($J$3:$J92,$J92,$E$3:$E92),0),"")</f>
        <v>6438.84</v>
      </c>
      <c r="L92" s="102">
        <f t="shared" si="1"/>
        <v>643.88400000000001</v>
      </c>
      <c r="M92" s="17"/>
    </row>
    <row r="93" spans="1:13" customFormat="1" ht="14.45" x14ac:dyDescent="0.35">
      <c r="A93" s="7">
        <v>42996</v>
      </c>
      <c r="B93" s="3"/>
      <c r="C93" s="10">
        <v>227.58</v>
      </c>
      <c r="D93" s="12">
        <f>IF(NOT(ISBLANK($A93)),SUM(B$3:B93)-SUM(C$3:C93),"")</f>
        <v>222.41999999999916</v>
      </c>
      <c r="E93" s="3">
        <v>227.58</v>
      </c>
      <c r="F93" s="10"/>
      <c r="G93" s="12">
        <f>IF(NOT(ISBLANK($A93)),SUM(E$3:E93)-SUM(F$3:F93),"")</f>
        <v>-354.8100000000004</v>
      </c>
      <c r="H93" s="4"/>
      <c r="I93" s="14"/>
      <c r="J93" s="4" t="s">
        <v>18</v>
      </c>
      <c r="K93" s="109">
        <f>IF(NOT(ISBLANK(A93)),SUMIF($J$3:$J93,$J93,$B$3:$B93)-SUMIF($J$3:$J93,$J93,$C$3:$C93)+IF(J93&lt;&gt;"Transfer",SUMIF($J$3:$J93,$J93,$F$3:$F93)-SUMIF($J$3:$J93,$J93,$E$3:$E93),0),"")</f>
        <v>-3888.9900000000002</v>
      </c>
      <c r="L93" s="109">
        <f t="shared" si="1"/>
        <v>-388.899</v>
      </c>
      <c r="M93" s="16"/>
    </row>
    <row r="94" spans="1:13" customFormat="1" ht="14.45" x14ac:dyDescent="0.35">
      <c r="A94" s="7">
        <v>42999</v>
      </c>
      <c r="B94" s="3"/>
      <c r="C94" s="10">
        <v>222.42</v>
      </c>
      <c r="D94" s="12">
        <f>IF(NOT(ISBLANK($A94)),SUM(B$3:B94)-SUM(C$3:C94),"")</f>
        <v>-9.0949470177292824E-13</v>
      </c>
      <c r="E94" s="3"/>
      <c r="F94" s="10"/>
      <c r="G94" s="12">
        <f>IF(NOT(ISBLANK($A94)),SUM(E$3:E94)-SUM(F$3:F94),"")</f>
        <v>-354.8100000000004</v>
      </c>
      <c r="H94" s="4"/>
      <c r="I94" s="14"/>
      <c r="J94" s="4" t="s">
        <v>14</v>
      </c>
      <c r="K94" s="109">
        <f>IF(NOT(ISBLANK(A94)),SUMIF($J$3:$J94,$J94,$B$3:$B94)-SUMIF($J$3:$J94,$J94,$C$3:$C94)+IF(J94&lt;&gt;"Transfer",SUMIF($J$3:$J94,$J94,$F$3:$F94)-SUMIF($J$3:$J94,$J94,$E$3:$E94),0),"")</f>
        <v>-779.36000000000013</v>
      </c>
      <c r="L94" s="109">
        <f t="shared" si="1"/>
        <v>-77.936000000000007</v>
      </c>
      <c r="M94" s="16"/>
    </row>
    <row r="95" spans="1:13" customFormat="1" ht="14.45" x14ac:dyDescent="0.35">
      <c r="A95" s="7">
        <v>43006</v>
      </c>
      <c r="B95" s="3"/>
      <c r="C95" s="10"/>
      <c r="D95" s="12">
        <f>IF(NOT(ISBLANK($A95)),SUM(B$3:B95)-SUM(C$3:C95),"")</f>
        <v>-9.0949470177292824E-13</v>
      </c>
      <c r="E95" s="3"/>
      <c r="F95" s="10">
        <v>20</v>
      </c>
      <c r="G95" s="12">
        <f>IF(NOT(ISBLANK($A95)),SUM(E$3:E95)-SUM(F$3:F95),"")</f>
        <v>-374.8100000000004</v>
      </c>
      <c r="H95" s="4" t="b">
        <v>1</v>
      </c>
      <c r="I95" s="14"/>
      <c r="J95" s="4" t="s">
        <v>10</v>
      </c>
      <c r="K95" s="109">
        <f>IF(NOT(ISBLANK(A95)),SUMIF($J$3:$J95,$J95,$B$3:$B95)-SUMIF($J$3:$J95,$J95,$C$3:$C95)+IF(J95&lt;&gt;"Transfer",SUMIF($J$3:$J95,$J95,$F$3:$F95)-SUMIF($J$3:$J95,$J95,$E$3:$E95),0),"")</f>
        <v>1020.5500000000001</v>
      </c>
      <c r="L95" s="109">
        <f t="shared" si="1"/>
        <v>92.777272727272731</v>
      </c>
      <c r="M95" s="16"/>
    </row>
    <row r="96" spans="1:13" customFormat="1" ht="14.45" x14ac:dyDescent="0.35">
      <c r="A96" s="8">
        <v>43011</v>
      </c>
      <c r="B96" s="5">
        <v>500</v>
      </c>
      <c r="C96" s="11"/>
      <c r="D96" s="13">
        <f>IF(NOT(ISBLANK($A96)),SUM(B$3:B96)-SUM(C$3:C96),"")</f>
        <v>499.99999999999909</v>
      </c>
      <c r="E96" s="5"/>
      <c r="F96" s="11"/>
      <c r="G96" s="13">
        <f>IF(NOT(ISBLANK($A96)),SUM(E$3:E96)-SUM(F$3:F96),"")</f>
        <v>-374.8100000000004</v>
      </c>
      <c r="H96" s="6"/>
      <c r="I96" s="15"/>
      <c r="J96" s="6" t="s">
        <v>9</v>
      </c>
      <c r="K96" s="102">
        <f>IF(NOT(ISBLANK(A96)),SUMIF($J$3:$J96,$J96,$B$3:$B96)-SUMIF($J$3:$J96,$J96,$C$3:$C96)+IF(J96&lt;&gt;"Transfer",SUMIF($J$3:$J96,$J96,$F$3:$F96)-SUMIF($J$3:$J96,$J96,$E$3:$E96),0),"")</f>
        <v>6938.84</v>
      </c>
      <c r="L96" s="102">
        <f t="shared" si="1"/>
        <v>630.80363636363643</v>
      </c>
      <c r="M96" s="17"/>
    </row>
    <row r="97" spans="1:13" customFormat="1" ht="14.45" x14ac:dyDescent="0.35">
      <c r="A97" s="8">
        <v>43011</v>
      </c>
      <c r="B97" s="5"/>
      <c r="C97" s="11"/>
      <c r="D97" s="13">
        <f>IF(NOT(ISBLANK($A97)),SUM(B$3:B97)-SUM(C$3:C97),"")</f>
        <v>499.99999999999909</v>
      </c>
      <c r="E97" s="5"/>
      <c r="F97" s="11">
        <v>62.46</v>
      </c>
      <c r="G97" s="13">
        <f>IF(NOT(ISBLANK($A97)),SUM(E$3:E97)-SUM(F$3:F97),"")</f>
        <v>-437.27000000000044</v>
      </c>
      <c r="H97" s="6" t="b">
        <v>1</v>
      </c>
      <c r="I97" s="15">
        <v>67530</v>
      </c>
      <c r="J97" s="6" t="s">
        <v>10</v>
      </c>
      <c r="K97" s="102">
        <f>IF(NOT(ISBLANK(A97)),SUMIF($J$3:$J97,$J97,$B$3:$B97)-SUMIF($J$3:$J97,$J97,$C$3:$C97)+IF(J97&lt;&gt;"Transfer",SUMIF($J$3:$J97,$J97,$F$3:$F97)-SUMIF($J$3:$J97,$J97,$E$3:$E97),0),"")</f>
        <v>1083.01</v>
      </c>
      <c r="L97" s="102">
        <f t="shared" si="1"/>
        <v>98.455454545454543</v>
      </c>
      <c r="M97" s="17"/>
    </row>
    <row r="98" spans="1:13" customFormat="1" ht="14.45" x14ac:dyDescent="0.35">
      <c r="A98" s="8">
        <v>43013</v>
      </c>
      <c r="B98" s="5"/>
      <c r="C98" s="11">
        <v>222.42</v>
      </c>
      <c r="D98" s="13">
        <f>IF(NOT(ISBLANK($A98)),SUM(B$3:B98)-SUM(C$3:C98),"")</f>
        <v>277.57999999999902</v>
      </c>
      <c r="E98" s="5"/>
      <c r="F98" s="11"/>
      <c r="G98" s="13">
        <f>IF(NOT(ISBLANK($A98)),SUM(E$3:E98)-SUM(F$3:F98),"")</f>
        <v>-437.27000000000044</v>
      </c>
      <c r="H98" s="6"/>
      <c r="I98" s="15"/>
      <c r="J98" s="6" t="s">
        <v>14</v>
      </c>
      <c r="K98" s="102">
        <f>IF(NOT(ISBLANK(A98)),SUMIF($J$3:$J98,$J98,$B$3:$B98)-SUMIF($J$3:$J98,$J98,$C$3:$C98)+IF(J98&lt;&gt;"Transfer",SUMIF($J$3:$J98,$J98,$F$3:$F98)-SUMIF($J$3:$J98,$J98,$E$3:$E98),0),"")</f>
        <v>-1001.7800000000002</v>
      </c>
      <c r="L98" s="102">
        <f t="shared" si="1"/>
        <v>-91.070909090909112</v>
      </c>
      <c r="M98" s="17"/>
    </row>
    <row r="99" spans="1:13" customFormat="1" ht="14.45" x14ac:dyDescent="0.35">
      <c r="A99" s="7">
        <v>43016</v>
      </c>
      <c r="B99" s="3"/>
      <c r="C99" s="10"/>
      <c r="D99" s="12">
        <f>IF(NOT(ISBLANK($A99)),SUM(B$3:B99)-SUM(C$3:C99),"")</f>
        <v>277.57999999999902</v>
      </c>
      <c r="E99" s="3"/>
      <c r="F99" s="10">
        <v>69.739999999999995</v>
      </c>
      <c r="G99" s="12">
        <f>IF(NOT(ISBLANK($A99)),SUM(E$3:E99)-SUM(F$3:F99),"")</f>
        <v>-507.01000000000022</v>
      </c>
      <c r="H99" s="4" t="b">
        <v>1</v>
      </c>
      <c r="I99" s="14">
        <v>68177</v>
      </c>
      <c r="J99" s="4" t="s">
        <v>10</v>
      </c>
      <c r="K99" s="109">
        <f>IF(NOT(ISBLANK(A99)),SUMIF($J$3:$J99,$J99,$B$3:$B99)-SUMIF($J$3:$J99,$J99,$C$3:$C99)+IF(J99&lt;&gt;"Transfer",SUMIF($J$3:$J99,$J99,$F$3:$F99)-SUMIF($J$3:$J99,$J99,$E$3:$E99),0),"")</f>
        <v>1152.75</v>
      </c>
      <c r="L99" s="109">
        <f t="shared" si="1"/>
        <v>104.79545454545455</v>
      </c>
      <c r="M99" s="16"/>
    </row>
    <row r="100" spans="1:13" customFormat="1" ht="14.45" x14ac:dyDescent="0.35">
      <c r="A100" s="7">
        <v>43018</v>
      </c>
      <c r="B100" s="3"/>
      <c r="C100" s="10">
        <v>82.97</v>
      </c>
      <c r="D100" s="12">
        <f>IF(NOT(ISBLANK($A100)),SUM(B$3:B100)-SUM(C$3:C100),"")</f>
        <v>194.60999999999876</v>
      </c>
      <c r="E100" s="3"/>
      <c r="F100" s="10"/>
      <c r="G100" s="12">
        <f>IF(NOT(ISBLANK($A100)),SUM(E$3:E100)-SUM(F$3:F100),"")</f>
        <v>-507.01000000000022</v>
      </c>
      <c r="H100" s="4"/>
      <c r="I100" s="14"/>
      <c r="J100" s="4" t="s">
        <v>13</v>
      </c>
      <c r="K100" s="109">
        <f>IF(NOT(ISBLANK(A100)),SUMIF($J$3:$J100,$J100,$B$3:$B100)-SUMIF($J$3:$J100,$J100,$C$3:$C100)+IF(J100&lt;&gt;"Transfer",SUMIF($J$3:$J100,$J100,$F$3:$F100)-SUMIF($J$3:$J100,$J100,$E$3:$E100),0),"")</f>
        <v>-331.88</v>
      </c>
      <c r="L100" s="109">
        <f t="shared" si="1"/>
        <v>-27.656666666666666</v>
      </c>
      <c r="M100" s="16"/>
    </row>
    <row r="101" spans="1:13" customFormat="1" ht="14.45" x14ac:dyDescent="0.35">
      <c r="A101" s="7">
        <v>43023</v>
      </c>
      <c r="B101" s="3"/>
      <c r="C101" s="10"/>
      <c r="D101" s="12">
        <f>IF(NOT(ISBLANK($A101)),SUM(B$3:B101)-SUM(C$3:C101),"")</f>
        <v>194.60999999999876</v>
      </c>
      <c r="E101" s="3"/>
      <c r="F101" s="10">
        <v>63.01</v>
      </c>
      <c r="G101" s="12">
        <f>IF(NOT(ISBLANK($A101)),SUM(E$3:E101)-SUM(F$3:F101),"")</f>
        <v>-570.02000000000044</v>
      </c>
      <c r="H101" s="4" t="b">
        <v>1</v>
      </c>
      <c r="I101" s="14">
        <v>68825</v>
      </c>
      <c r="J101" s="4" t="s">
        <v>10</v>
      </c>
      <c r="K101" s="109">
        <f>IF(NOT(ISBLANK(A101)),SUMIF($J$3:$J101,$J101,$B$3:$B101)-SUMIF($J$3:$J101,$J101,$C$3:$C101)+IF(J101&lt;&gt;"Transfer",SUMIF($J$3:$J101,$J101,$F$3:$F101)-SUMIF($J$3:$J101,$J101,$E$3:$E101),0),"")</f>
        <v>1215.76</v>
      </c>
      <c r="L101" s="109">
        <f t="shared" si="1"/>
        <v>101.31333333333333</v>
      </c>
      <c r="M101" s="16"/>
    </row>
    <row r="102" spans="1:13" customFormat="1" ht="14.45" x14ac:dyDescent="0.35">
      <c r="A102" s="8">
        <f ca="1">TODAY()</f>
        <v>43116</v>
      </c>
      <c r="B102" s="5">
        <v>250</v>
      </c>
      <c r="C102" s="11"/>
      <c r="D102" s="13">
        <f ca="1">IF(NOT(ISBLANK($A102)),SUM(B$3:B102)-SUM(C$3:C102),"")</f>
        <v>444.60999999999876</v>
      </c>
      <c r="E102" s="5"/>
      <c r="F102" s="11"/>
      <c r="G102" s="13">
        <f ca="1">IF(NOT(ISBLANK($A102)),SUM(E$3:E102)-SUM(F$3:F102),"")</f>
        <v>-570.02000000000044</v>
      </c>
      <c r="H102" s="6"/>
      <c r="I102" s="15"/>
      <c r="J102" s="6" t="s">
        <v>9</v>
      </c>
      <c r="K102" s="102">
        <f ca="1">IF(NOT(ISBLANK(A102)),SUMIF($J$3:$J102,$J102,$B$3:$B102)-SUMIF($J$3:$J102,$J102,$C$3:$C102)+IF(J102&lt;&gt;"Transfer",SUMIF($J$3:$J102,$J102,$F$3:$F102)-SUMIF($J$3:$J102,$J102,$E$3:$E102),0),"")</f>
        <v>7188.84</v>
      </c>
      <c r="L102" s="102">
        <f t="shared" ca="1" si="1"/>
        <v>378.36</v>
      </c>
      <c r="M102" s="17"/>
    </row>
    <row r="103" spans="1:13" customFormat="1" ht="14.45" x14ac:dyDescent="0.35">
      <c r="A103" s="8">
        <v>43025</v>
      </c>
      <c r="B103" s="5"/>
      <c r="C103" s="11"/>
      <c r="D103" s="13">
        <f>IF(NOT(ISBLANK($A103)),SUM(B$3:B103)-SUM(C$3:C103),"")</f>
        <v>444.60999999999876</v>
      </c>
      <c r="E103" s="5"/>
      <c r="F103" s="11">
        <v>1.5</v>
      </c>
      <c r="G103" s="13">
        <f>IF(NOT(ISBLANK($A103)),SUM(E$3:E103)-SUM(F$3:F103),"")</f>
        <v>-571.52000000000044</v>
      </c>
      <c r="H103" s="6" t="b">
        <v>1</v>
      </c>
      <c r="I103" s="15"/>
      <c r="J103" s="6" t="s">
        <v>28</v>
      </c>
      <c r="K103" s="102">
        <f>IF(NOT(ISBLANK(A103)),SUMIF($J$3:$J103,$J103,$B$3:$B103)-SUMIF($J$3:$J103,$J103,$C$3:$C103)+IF(J103&lt;&gt;"Transfer",SUMIF($J$3:$J103,$J103,$F$3:$F103)-SUMIF($J$3:$J103,$J103,$E$3:$E103),0),"")</f>
        <v>35</v>
      </c>
      <c r="L103" s="102">
        <f t="shared" si="1"/>
        <v>2.9166666666666665</v>
      </c>
      <c r="M103" s="17"/>
    </row>
    <row r="104" spans="1:13" customFormat="1" ht="14.45" x14ac:dyDescent="0.35">
      <c r="A104" s="8">
        <v>43026</v>
      </c>
      <c r="B104" s="5">
        <v>500</v>
      </c>
      <c r="C104" s="11"/>
      <c r="D104" s="13">
        <f>IF(NOT(ISBLANK($A104)),SUM(B$3:B104)-SUM(C$3:C104),"")</f>
        <v>944.60999999999876</v>
      </c>
      <c r="E104" s="5"/>
      <c r="F104" s="11"/>
      <c r="G104" s="13">
        <f>IF(NOT(ISBLANK($A104)),SUM(E$3:E104)-SUM(F$3:F104),"")</f>
        <v>-571.52000000000044</v>
      </c>
      <c r="H104" s="6"/>
      <c r="I104" s="15"/>
      <c r="J104" s="6" t="s">
        <v>9</v>
      </c>
      <c r="K104" s="102">
        <f>IF(NOT(ISBLANK(A104)),SUMIF($J$3:$J104,$J104,$B$3:$B104)-SUMIF($J$3:$J104,$J104,$C$3:$C104)+IF(J104&lt;&gt;"Transfer",SUMIF($J$3:$J104,$J104,$F$3:$F104)-SUMIF($J$3:$J104,$J104,$E$3:$E104),0),"")</f>
        <v>7688.84</v>
      </c>
      <c r="L104" s="102">
        <f t="shared" si="1"/>
        <v>640.73666666666668</v>
      </c>
      <c r="M104" s="17"/>
    </row>
    <row r="105" spans="1:13" customFormat="1" ht="14.45" x14ac:dyDescent="0.35">
      <c r="A105" s="7">
        <v>43027</v>
      </c>
      <c r="B105" s="3"/>
      <c r="C105" s="10">
        <v>570.02</v>
      </c>
      <c r="D105" s="12">
        <f>IF(NOT(ISBLANK($A105)),SUM(B$3:B105)-SUM(C$3:C105),"")</f>
        <v>374.58999999999833</v>
      </c>
      <c r="E105" s="3">
        <v>570.02</v>
      </c>
      <c r="F105" s="10"/>
      <c r="G105" s="12">
        <f>IF(NOT(ISBLANK($A105)),SUM(E$3:E105)-SUM(F$3:F105),"")</f>
        <v>-1.5000000000009095</v>
      </c>
      <c r="H105" s="4"/>
      <c r="I105" s="14"/>
      <c r="J105" s="4" t="s">
        <v>18</v>
      </c>
      <c r="K105" s="109">
        <f>IF(NOT(ISBLANK(A105)),SUMIF($J$3:$J105,$J105,$B$3:$B105)-SUMIF($J$3:$J105,$J105,$C$3:$C105)+IF(J105&lt;&gt;"Transfer",SUMIF($J$3:$J105,$J105,$F$3:$F105)-SUMIF($J$3:$J105,$J105,$E$3:$E105),0),"")</f>
        <v>-4459.01</v>
      </c>
      <c r="L105" s="109">
        <f t="shared" si="1"/>
        <v>-371.5841666666667</v>
      </c>
      <c r="M105" s="16"/>
    </row>
    <row r="106" spans="1:13" customFormat="1" ht="14.45" x14ac:dyDescent="0.35">
      <c r="A106" s="7">
        <v>43027</v>
      </c>
      <c r="B106" s="3"/>
      <c r="C106" s="10">
        <v>222.42</v>
      </c>
      <c r="D106" s="12">
        <f>IF(NOT(ISBLANK($A106)),SUM(B$3:B106)-SUM(C$3:C106),"")</f>
        <v>152.16999999999825</v>
      </c>
      <c r="E106" s="3"/>
      <c r="F106" s="10"/>
      <c r="G106" s="12">
        <f>IF(NOT(ISBLANK($A106)),SUM(E$3:E106)-SUM(F$3:F106),"")</f>
        <v>-1.5000000000009095</v>
      </c>
      <c r="H106" s="4"/>
      <c r="I106" s="14"/>
      <c r="J106" s="4" t="s">
        <v>14</v>
      </c>
      <c r="K106" s="109">
        <f>IF(NOT(ISBLANK(A106)),SUMIF($J$3:$J106,$J106,$B$3:$B106)-SUMIF($J$3:$J106,$J106,$C$3:$C106)+IF(J106&lt;&gt;"Transfer",SUMIF($J$3:$J106,$J106,$F$3:$F106)-SUMIF($J$3:$J106,$J106,$E$3:$E106),0),"")</f>
        <v>-1224.2000000000003</v>
      </c>
      <c r="L106" s="109">
        <f t="shared" si="1"/>
        <v>-102.01666666666669</v>
      </c>
      <c r="M106" s="16"/>
    </row>
    <row r="107" spans="1:13" customFormat="1" ht="14.45" x14ac:dyDescent="0.35">
      <c r="A107" s="7">
        <v>43033</v>
      </c>
      <c r="B107" s="3"/>
      <c r="C107" s="10"/>
      <c r="D107" s="12">
        <f>IF(NOT(ISBLANK($A107)),SUM(B$3:B107)-SUM(C$3:C107),"")</f>
        <v>152.16999999999825</v>
      </c>
      <c r="E107" s="3"/>
      <c r="F107" s="10">
        <v>65.2</v>
      </c>
      <c r="G107" s="12">
        <f>IF(NOT(ISBLANK($A107)),SUM(E$3:E107)-SUM(F$3:F107),"")</f>
        <v>-66.700000000000728</v>
      </c>
      <c r="H107" s="4" t="b">
        <v>1</v>
      </c>
      <c r="I107" s="14">
        <v>69330</v>
      </c>
      <c r="J107" s="4" t="s">
        <v>10</v>
      </c>
      <c r="K107" s="109">
        <f>IF(NOT(ISBLANK(A107)),SUMIF($J$3:$J107,$J107,$B$3:$B107)-SUMIF($J$3:$J107,$J107,$C$3:$C107)+IF(J107&lt;&gt;"Transfer",SUMIF($J$3:$J107,$J107,$F$3:$F107)-SUMIF($J$3:$J107,$J107,$E$3:$E107),0),"")</f>
        <v>1280.96</v>
      </c>
      <c r="L107" s="109">
        <f t="shared" si="1"/>
        <v>98.535384615384615</v>
      </c>
      <c r="M107" s="16"/>
    </row>
    <row r="108" spans="1:13" customFormat="1" ht="14.45" x14ac:dyDescent="0.35">
      <c r="A108" s="8">
        <v>43041</v>
      </c>
      <c r="B108" s="5"/>
      <c r="C108" s="11"/>
      <c r="D108" s="13">
        <f>IF(NOT(ISBLANK($A108)),SUM(B$3:B108)-SUM(C$3:C108),"")</f>
        <v>152.16999999999825</v>
      </c>
      <c r="E108" s="5"/>
      <c r="F108" s="11">
        <v>78</v>
      </c>
      <c r="G108" s="13">
        <f>IF(NOT(ISBLANK($A108)),SUM(E$3:E108)-SUM(F$3:F108),"")</f>
        <v>-144.70000000000073</v>
      </c>
      <c r="H108" s="6" t="b">
        <v>1</v>
      </c>
      <c r="I108" s="15">
        <v>69843</v>
      </c>
      <c r="J108" s="6" t="s">
        <v>10</v>
      </c>
      <c r="K108" s="102">
        <f>IF(NOT(ISBLANK(A108)),SUMIF($J$3:$J108,$J108,$B$3:$B108)-SUMIF($J$3:$J108,$J108,$C$3:$C108)+IF(J108&lt;&gt;"Transfer",SUMIF($J$3:$J108,$J108,$F$3:$F108)-SUMIF($J$3:$J108,$J108,$E$3:$E108),0),"")</f>
        <v>1358.96</v>
      </c>
      <c r="L108" s="102">
        <f t="shared" si="1"/>
        <v>104.53538461538461</v>
      </c>
      <c r="M108" s="17"/>
    </row>
    <row r="109" spans="1:13" customFormat="1" ht="14.45" x14ac:dyDescent="0.35">
      <c r="A109" s="8">
        <v>43041</v>
      </c>
      <c r="B109" s="5">
        <v>500</v>
      </c>
      <c r="C109" s="11"/>
      <c r="D109" s="13">
        <f>IF(NOT(ISBLANK($A109)),SUM(B$3:B109)-SUM(C$3:C109),"")</f>
        <v>652.16999999999825</v>
      </c>
      <c r="E109" s="5"/>
      <c r="F109" s="11"/>
      <c r="G109" s="13">
        <f>IF(NOT(ISBLANK($A109)),SUM(E$3:E109)-SUM(F$3:F109),"")</f>
        <v>-144.70000000000073</v>
      </c>
      <c r="H109" s="6"/>
      <c r="I109" s="15"/>
      <c r="J109" s="6" t="s">
        <v>9</v>
      </c>
      <c r="K109" s="102">
        <f>IF(NOT(ISBLANK(A109)),SUMIF($J$3:$J109,$J109,$B$3:$B109)-SUMIF($J$3:$J109,$J109,$C$3:$C109)+IF(J109&lt;&gt;"Transfer",SUMIF($J$3:$J109,$J109,$F$3:$F109)-SUMIF($J$3:$J109,$J109,$E$3:$E109),0),"")</f>
        <v>8188.84</v>
      </c>
      <c r="L109" s="102">
        <f t="shared" si="1"/>
        <v>629.91076923076923</v>
      </c>
      <c r="M109" s="17"/>
    </row>
    <row r="110" spans="1:13" customFormat="1" ht="14.45" x14ac:dyDescent="0.35">
      <c r="A110" s="8">
        <f>A109</f>
        <v>43041</v>
      </c>
      <c r="B110" s="5"/>
      <c r="C110" s="11">
        <v>222.42</v>
      </c>
      <c r="D110" s="13">
        <f>IF(NOT(ISBLANK($A110)),SUM(B$3:B110)-SUM(C$3:C110),"")</f>
        <v>429.74999999999818</v>
      </c>
      <c r="E110" s="5"/>
      <c r="F110" s="11"/>
      <c r="G110" s="13">
        <f>IF(NOT(ISBLANK($A110)),SUM(E$3:E110)-SUM(F$3:F110),"")</f>
        <v>-144.70000000000073</v>
      </c>
      <c r="H110" s="6"/>
      <c r="I110" s="15"/>
      <c r="J110" s="6" t="s">
        <v>14</v>
      </c>
      <c r="K110" s="102">
        <f>IF(NOT(ISBLANK(A110)),SUMIF($J$3:$J110,$J110,$B$3:$B110)-SUMIF($J$3:$J110,$J110,$C$3:$C110)+IF(J110&lt;&gt;"Transfer",SUMIF($J$3:$J110,$J110,$F$3:$F110)-SUMIF($J$3:$J110,$J110,$E$3:$E110),0),"")</f>
        <v>-1446.6200000000003</v>
      </c>
      <c r="L110" s="102">
        <f t="shared" si="1"/>
        <v>-111.27846153846157</v>
      </c>
      <c r="M110" s="17"/>
    </row>
    <row r="111" spans="1:13" customFormat="1" ht="14.45" x14ac:dyDescent="0.35">
      <c r="A111" s="7">
        <v>43044</v>
      </c>
      <c r="B111" s="3"/>
      <c r="C111" s="10">
        <v>124.36</v>
      </c>
      <c r="D111" s="12">
        <f>IF(NOT(ISBLANK($A111)),SUM(B$3:B111)-SUM(C$3:C111),"")</f>
        <v>305.38999999999851</v>
      </c>
      <c r="E111" s="3">
        <v>124.36</v>
      </c>
      <c r="F111" s="10"/>
      <c r="G111" s="12">
        <f>IF(NOT(ISBLANK($A111)),SUM(E$3:E111)-SUM(F$3:F111),"")</f>
        <v>-20.340000000001055</v>
      </c>
      <c r="H111" s="4"/>
      <c r="I111" s="14"/>
      <c r="J111" s="4" t="s">
        <v>18</v>
      </c>
      <c r="K111" s="109">
        <f>IF(NOT(ISBLANK(A111)),SUMIF($J$3:$J111,$J111,$B$3:$B111)-SUMIF($J$3:$J111,$J111,$C$3:$C111)+IF(J111&lt;&gt;"Transfer",SUMIF($J$3:$J111,$J111,$F$3:$F111)-SUMIF($J$3:$J111,$J111,$E$3:$E111),0),"")</f>
        <v>-4583.37</v>
      </c>
      <c r="L111" s="109">
        <f t="shared" si="1"/>
        <v>-352.56692307692305</v>
      </c>
      <c r="M111" s="16"/>
    </row>
    <row r="112" spans="1:13" customFormat="1" ht="14.45" x14ac:dyDescent="0.35">
      <c r="A112" s="7">
        <v>43047</v>
      </c>
      <c r="B112" s="3"/>
      <c r="C112" s="10">
        <v>82.97</v>
      </c>
      <c r="D112" s="12">
        <f>IF(NOT(ISBLANK($A112)),SUM(B$3:B112)-SUM(C$3:C112),"")</f>
        <v>222.41999999999825</v>
      </c>
      <c r="E112" s="3"/>
      <c r="F112" s="10"/>
      <c r="G112" s="12">
        <f>IF(NOT(ISBLANK($A112)),SUM(E$3:E112)-SUM(F$3:F112),"")</f>
        <v>-20.340000000001055</v>
      </c>
      <c r="H112" s="4"/>
      <c r="I112" s="14"/>
      <c r="J112" s="4" t="s">
        <v>13</v>
      </c>
      <c r="K112" s="109">
        <f>IF(NOT(ISBLANK(A112)),SUMIF($J$3:$J112,$J112,$B$3:$B112)-SUMIF($J$3:$J112,$J112,$C$3:$C112)+IF(J112&lt;&gt;"Transfer",SUMIF($J$3:$J112,$J112,$F$3:$F112)-SUMIF($J$3:$J112,$J112,$E$3:$E112),0),"")</f>
        <v>-414.85</v>
      </c>
      <c r="L112" s="109">
        <f t="shared" si="1"/>
        <v>-29.63214285714286</v>
      </c>
      <c r="M112" s="16"/>
    </row>
    <row r="113" spans="1:13" customFormat="1" ht="14.45" x14ac:dyDescent="0.35">
      <c r="A113" s="7">
        <v>43047</v>
      </c>
      <c r="B113" s="3"/>
      <c r="C113" s="10"/>
      <c r="D113" s="12">
        <f>IF(NOT(ISBLANK($A113)),SUM(B$3:B113)-SUM(C$3:C113),"")</f>
        <v>222.41999999999825</v>
      </c>
      <c r="E113" s="3"/>
      <c r="F113" s="10">
        <v>3</v>
      </c>
      <c r="G113" s="12">
        <f>IF(NOT(ISBLANK($A113)),SUM(E$3:E113)-SUM(F$3:F113),"")</f>
        <v>-23.340000000001055</v>
      </c>
      <c r="H113" s="4"/>
      <c r="I113" s="14"/>
      <c r="J113" s="4" t="s">
        <v>28</v>
      </c>
      <c r="K113" s="109">
        <f>IF(NOT(ISBLANK(A113)),SUMIF($J$3:$J113,$J113,$B$3:$B113)-SUMIF($J$3:$J113,$J113,$C$3:$C113)+IF(J113&lt;&gt;"Transfer",SUMIF($J$3:$J113,$J113,$F$3:$F113)-SUMIF($J$3:$J113,$J113,$E$3:$E113),0),"")</f>
        <v>38</v>
      </c>
      <c r="L113" s="109">
        <f t="shared" si="1"/>
        <v>2.7142857142857144</v>
      </c>
      <c r="M113" s="16"/>
    </row>
    <row r="114" spans="1:13" customFormat="1" ht="14.45" x14ac:dyDescent="0.35">
      <c r="A114" s="8">
        <v>43047</v>
      </c>
      <c r="B114" s="5"/>
      <c r="C114" s="11"/>
      <c r="D114" s="13">
        <f>IF(NOT(ISBLANK($A114)),SUM(B$3:B114)-SUM(C$3:C114),"")</f>
        <v>222.41999999999825</v>
      </c>
      <c r="E114" s="5"/>
      <c r="F114" s="11">
        <v>0</v>
      </c>
      <c r="G114" s="13">
        <f>IF(NOT(ISBLANK($A114)),SUM(E$3:E114)-SUM(F$3:F114),"")</f>
        <v>-23.340000000001055</v>
      </c>
      <c r="H114" s="6"/>
      <c r="I114" s="15">
        <v>70487</v>
      </c>
      <c r="J114" s="6" t="s">
        <v>10</v>
      </c>
      <c r="K114" s="102">
        <f>IF(NOT(ISBLANK(A114)),SUMIF($J$3:$J114,$J114,$B$3:$B114)-SUMIF($J$3:$J114,$J114,$C$3:$C114)+IF(J114&lt;&gt;"Transfer",SUMIF($J$3:$J114,$J114,$F$3:$F114)-SUMIF($J$3:$J114,$J114,$E$3:$E114),0),"")</f>
        <v>1358.96</v>
      </c>
      <c r="L114" s="102">
        <f t="shared" si="1"/>
        <v>97.068571428571431</v>
      </c>
      <c r="M114" s="17"/>
    </row>
    <row r="115" spans="1:13" customFormat="1" ht="14.45" x14ac:dyDescent="0.35">
      <c r="A115" s="8">
        <v>43048</v>
      </c>
      <c r="B115" s="5"/>
      <c r="C115" s="11"/>
      <c r="D115" s="13">
        <f>IF(NOT(ISBLANK($A115)),SUM(B$3:B115)-SUM(C$3:C115),"")</f>
        <v>222.41999999999825</v>
      </c>
      <c r="E115" s="5"/>
      <c r="F115" s="11">
        <v>330</v>
      </c>
      <c r="G115" s="13">
        <f>IF(NOT(ISBLANK($A115)),SUM(E$3:E115)-SUM(F$3:F115),"")</f>
        <v>-353.34000000000106</v>
      </c>
      <c r="H115" s="6"/>
      <c r="I115" s="15"/>
      <c r="J115" s="6" t="s">
        <v>22</v>
      </c>
      <c r="K115" s="102">
        <f>IF(NOT(ISBLANK(A115)),SUMIF($J$3:$J115,$J115,$B$3:$B115)-SUMIF($J$3:$J115,$J115,$C$3:$C115)+IF(J115&lt;&gt;"Transfer",SUMIF($J$3:$J115,$J115,$F$3:$F115)-SUMIF($J$3:$J115,$J115,$E$3:$E115),0),"")</f>
        <v>398</v>
      </c>
      <c r="L115" s="102">
        <f t="shared" si="1"/>
        <v>28.428571428571427</v>
      </c>
      <c r="M115" s="17"/>
    </row>
    <row r="116" spans="1:13" customFormat="1" ht="14.45" x14ac:dyDescent="0.35">
      <c r="A116" s="8">
        <v>43049</v>
      </c>
      <c r="B116" s="5"/>
      <c r="C116" s="11"/>
      <c r="D116" s="13">
        <f>IF(NOT(ISBLANK($A116)),SUM(B$3:B116)-SUM(C$3:C116),"")</f>
        <v>222.41999999999825</v>
      </c>
      <c r="E116" s="5"/>
      <c r="F116" s="11">
        <v>1594.43</v>
      </c>
      <c r="G116" s="13">
        <f>IF(NOT(ISBLANK($A116)),SUM(E$3:E116)-SUM(F$3:F116),"")</f>
        <v>-1947.7700000000013</v>
      </c>
      <c r="H116" s="6"/>
      <c r="I116" s="15"/>
      <c r="J116" s="6" t="s">
        <v>34</v>
      </c>
      <c r="K116" s="102">
        <f>IF(NOT(ISBLANK(A116)),SUMIF($J$3:$J116,$J116,$B$3:$B116)-SUMIF($J$3:$J116,$J116,$C$3:$C116)+IF(J116&lt;&gt;"Transfer",SUMIF($J$3:$J116,$J116,$F$3:$F116)-SUMIF($J$3:$J116,$J116,$E$3:$E116),0),"")</f>
        <v>1594.43</v>
      </c>
      <c r="L116" s="102">
        <f t="shared" si="1"/>
        <v>113.88785714285714</v>
      </c>
      <c r="M116" s="17"/>
    </row>
    <row r="117" spans="1:13" customFormat="1" ht="14.45" x14ac:dyDescent="0.35">
      <c r="A117" s="7">
        <v>43051</v>
      </c>
      <c r="B117" s="3"/>
      <c r="C117" s="10"/>
      <c r="D117" s="12">
        <f>IF(NOT(ISBLANK($A117)),SUM(B$3:B117)-SUM(C$3:C117),"")</f>
        <v>222.41999999999825</v>
      </c>
      <c r="E117" s="3"/>
      <c r="F117" s="10">
        <v>10.5</v>
      </c>
      <c r="G117" s="12">
        <f>IF(NOT(ISBLANK($A117)),SUM(E$3:E117)-SUM(F$3:F117),"")</f>
        <v>-1958.2700000000013</v>
      </c>
      <c r="H117" s="4"/>
      <c r="I117" s="14"/>
      <c r="J117" s="4" t="s">
        <v>28</v>
      </c>
      <c r="K117" s="109">
        <f>IF(NOT(ISBLANK(A117)),SUMIF($J$3:$J117,$J117,$B$3:$B117)-SUMIF($J$3:$J117,$J117,$C$3:$C117)+IF(J117&lt;&gt;"Transfer",SUMIF($J$3:$J117,$J117,$F$3:$F117)-SUMIF($J$3:$J117,$J117,$E$3:$E117),0),"")</f>
        <v>48.5</v>
      </c>
      <c r="L117" s="109">
        <f t="shared" si="1"/>
        <v>3.4642857142857144</v>
      </c>
      <c r="M117" s="16" t="s">
        <v>192</v>
      </c>
    </row>
    <row r="118" spans="1:13" customFormat="1" ht="14.45" x14ac:dyDescent="0.35">
      <c r="A118" s="7">
        <v>43053</v>
      </c>
      <c r="B118" s="3"/>
      <c r="C118" s="10"/>
      <c r="D118" s="12">
        <f>IF(NOT(ISBLANK($A118)),SUM(B$3:B118)-SUM(C$3:C118),"")</f>
        <v>222.41999999999825</v>
      </c>
      <c r="E118" s="3"/>
      <c r="F118" s="10">
        <v>62.2</v>
      </c>
      <c r="G118" s="12">
        <f>IF(NOT(ISBLANK($A118)),SUM(E$3:E118)-SUM(F$3:F118),"")</f>
        <v>-2020.4700000000012</v>
      </c>
      <c r="H118" s="4"/>
      <c r="I118" s="14">
        <v>70895</v>
      </c>
      <c r="J118" s="4" t="s">
        <v>10</v>
      </c>
      <c r="K118" s="109">
        <f>IF(NOT(ISBLANK(A118)),SUMIF($J$3:$J118,$J118,$B$3:$B118)-SUMIF($J$3:$J118,$J118,$C$3:$C118)+IF(J118&lt;&gt;"Transfer",SUMIF($J$3:$J118,$J118,$F$3:$F118)-SUMIF($J$3:$J118,$J118,$E$3:$E118),0),"")</f>
        <v>1421.16</v>
      </c>
      <c r="L118" s="109">
        <f t="shared" si="1"/>
        <v>101.51142857142858</v>
      </c>
      <c r="M118" s="16"/>
    </row>
    <row r="119" spans="1:13" customFormat="1" ht="14.45" x14ac:dyDescent="0.35">
      <c r="A119" s="7">
        <v>43055</v>
      </c>
      <c r="B119" s="3"/>
      <c r="C119" s="10">
        <v>222.42</v>
      </c>
      <c r="D119" s="12">
        <f>IF(NOT(ISBLANK($A119)),SUM(B$3:B119)-SUM(C$3:C119),"")</f>
        <v>-1.8189894035458565E-12</v>
      </c>
      <c r="E119" s="3"/>
      <c r="F119" s="10"/>
      <c r="G119" s="12">
        <f>IF(NOT(ISBLANK($A119)),SUM(E$3:E119)-SUM(F$3:F119),"")</f>
        <v>-2020.4700000000012</v>
      </c>
      <c r="H119" s="4"/>
      <c r="I119" s="14"/>
      <c r="J119" s="4" t="s">
        <v>14</v>
      </c>
      <c r="K119" s="109">
        <f>IF(NOT(ISBLANK(A119)),SUMIF($J$3:$J119,$J119,$B$3:$B119)-SUMIF($J$3:$J119,$J119,$C$3:$C119)+IF(J119&lt;&gt;"Transfer",SUMIF($J$3:$J119,$J119,$F$3:$F119)-SUMIF($J$3:$J119,$J119,$E$3:$E119),0),"")</f>
        <v>-1669.0400000000004</v>
      </c>
      <c r="L119" s="109">
        <f t="shared" si="1"/>
        <v>-119.21714285714289</v>
      </c>
      <c r="M119" s="16"/>
    </row>
    <row r="120" spans="1:13" customFormat="1" ht="14.45" x14ac:dyDescent="0.35">
      <c r="A120" s="8">
        <v>43056</v>
      </c>
      <c r="B120" s="5">
        <v>650</v>
      </c>
      <c r="C120" s="11"/>
      <c r="D120" s="13">
        <f>IF(NOT(ISBLANK($A120)),SUM(B$3:B120)-SUM(C$3:C120),"")</f>
        <v>649.99999999999818</v>
      </c>
      <c r="E120" s="5"/>
      <c r="F120" s="11"/>
      <c r="G120" s="13">
        <f>IF(NOT(ISBLANK($A120)),SUM(E$3:E120)-SUM(F$3:F120),"")</f>
        <v>-2020.4700000000012</v>
      </c>
      <c r="H120" s="6"/>
      <c r="I120" s="15"/>
      <c r="J120" s="6" t="s">
        <v>9</v>
      </c>
      <c r="K120" s="102">
        <f>IF(NOT(ISBLANK(A120)),SUMIF($J$3:$J120,$J120,$B$3:$B120)-SUMIF($J$3:$J120,$J120,$C$3:$C120)+IF(J120&lt;&gt;"Transfer",SUMIF($J$3:$J120,$J120,$F$3:$F120)-SUMIF($J$3:$J120,$J120,$E$3:$E120),0),"")</f>
        <v>8838.84</v>
      </c>
      <c r="L120" s="102">
        <f t="shared" si="1"/>
        <v>631.34571428571428</v>
      </c>
      <c r="M120" s="17"/>
    </row>
    <row r="121" spans="1:13" customFormat="1" ht="14.45" x14ac:dyDescent="0.35">
      <c r="A121" s="8">
        <v>43056</v>
      </c>
      <c r="B121" s="5"/>
      <c r="C121" s="11">
        <v>344.61</v>
      </c>
      <c r="D121" s="13">
        <f>IF(NOT(ISBLANK($A121)),SUM(B$3:B121)-SUM(C$3:C121),"")</f>
        <v>305.3899999999976</v>
      </c>
      <c r="E121" s="5">
        <v>344.61</v>
      </c>
      <c r="F121" s="11"/>
      <c r="G121" s="13">
        <f>IF(NOT(ISBLANK($A121)),SUM(E$3:E121)-SUM(F$3:F121),"")</f>
        <v>-1675.8600000000015</v>
      </c>
      <c r="H121" s="6"/>
      <c r="I121" s="15"/>
      <c r="J121" s="6" t="s">
        <v>18</v>
      </c>
      <c r="K121" s="102">
        <f>IF(NOT(ISBLANK(A121)),SUMIF($J$3:$J121,$J121,$B$3:$B121)-SUMIF($J$3:$J121,$J121,$C$3:$C121)+IF(J121&lt;&gt;"Transfer",SUMIF($J$3:$J121,$J121,$F$3:$F121)-SUMIF($J$3:$J121,$J121,$E$3:$E121),0),"")</f>
        <v>-4927.9799999999996</v>
      </c>
      <c r="L121" s="102">
        <f t="shared" si="1"/>
        <v>-351.99857142857138</v>
      </c>
      <c r="M121" s="17"/>
    </row>
    <row r="122" spans="1:13" customFormat="1" ht="14.45" x14ac:dyDescent="0.35">
      <c r="A122" s="8">
        <v>43060</v>
      </c>
      <c r="B122" s="5"/>
      <c r="C122" s="11"/>
      <c r="D122" s="13">
        <f>IF(NOT(ISBLANK($A122)),SUM(B$3:B122)-SUM(C$3:C122),"")</f>
        <v>305.3899999999976</v>
      </c>
      <c r="E122" s="5"/>
      <c r="F122" s="11">
        <v>69.92</v>
      </c>
      <c r="G122" s="13">
        <f>IF(NOT(ISBLANK($A122)),SUM(E$3:E122)-SUM(F$3:F122),"")</f>
        <v>-1745.7800000000016</v>
      </c>
      <c r="H122" s="6"/>
      <c r="I122" s="15">
        <v>71325</v>
      </c>
      <c r="J122" s="6" t="s">
        <v>10</v>
      </c>
      <c r="K122" s="102">
        <f>IF(NOT(ISBLANK(A122)),SUMIF($J$3:$J122,$J122,$B$3:$B122)-SUMIF($J$3:$J122,$J122,$C$3:$C122)+IF(J122&lt;&gt;"Transfer",SUMIF($J$3:$J122,$J122,$F$3:$F122)-SUMIF($J$3:$J122,$J122,$E$3:$E122),0),"")</f>
        <v>1491.0800000000002</v>
      </c>
      <c r="L122" s="102">
        <f t="shared" si="1"/>
        <v>99.405333333333346</v>
      </c>
      <c r="M122" s="17"/>
    </row>
    <row r="123" spans="1:13" customFormat="1" ht="14.45" x14ac:dyDescent="0.35">
      <c r="A123" s="7">
        <v>43060</v>
      </c>
      <c r="B123" s="3"/>
      <c r="C123" s="10"/>
      <c r="D123" s="12">
        <f>IF(NOT(ISBLANK($A123)),SUM(B$3:B123)-SUM(C$3:C123),"")</f>
        <v>305.3899999999976</v>
      </c>
      <c r="E123" s="3"/>
      <c r="F123" s="10">
        <v>18.079999999999998</v>
      </c>
      <c r="G123" s="12">
        <f>IF(NOT(ISBLANK($A123)),SUM(E$3:E123)-SUM(F$3:F123),"")</f>
        <v>-1763.8600000000015</v>
      </c>
      <c r="H123" s="4"/>
      <c r="I123" s="14"/>
      <c r="J123" s="4" t="s">
        <v>29</v>
      </c>
      <c r="K123" s="109">
        <f>IF(NOT(ISBLANK(A123)),SUMIF($J$3:$J123,$J123,$B$3:$B123)-SUMIF($J$3:$J123,$J123,$C$3:$C123)+IF(J123&lt;&gt;"Transfer",SUMIF($J$3:$J123,$J123,$F$3:$F123)-SUMIF($J$3:$J123,$J123,$E$3:$E123),0),"")</f>
        <v>1737.83</v>
      </c>
      <c r="L123" s="109">
        <f t="shared" ref="L123:L128" si="2">IF(NOT(ISBLANK(A123)),IFERROR(K123/ROUND((A123-$A$3)/14,0),""),"")</f>
        <v>115.85533333333333</v>
      </c>
      <c r="M123" s="16" t="s">
        <v>173</v>
      </c>
    </row>
    <row r="124" spans="1:13" customFormat="1" ht="14.45" x14ac:dyDescent="0.35">
      <c r="A124" s="7">
        <v>43060</v>
      </c>
      <c r="B124" s="3"/>
      <c r="C124" s="10">
        <v>18.02</v>
      </c>
      <c r="D124" s="12">
        <f>IF(NOT(ISBLANK($A124)),SUM(B$3:B124)-SUM(C$3:C124),"")</f>
        <v>287.36999999999716</v>
      </c>
      <c r="E124" s="3">
        <v>18.02</v>
      </c>
      <c r="F124" s="10"/>
      <c r="G124" s="12">
        <f>IF(NOT(ISBLANK($A124)),SUM(E$3:E124)-SUM(F$3:F124),"")</f>
        <v>-1745.8400000000011</v>
      </c>
      <c r="H124" s="4"/>
      <c r="I124" s="14"/>
      <c r="J124" s="4" t="s">
        <v>18</v>
      </c>
      <c r="K124" s="109">
        <f>IF(NOT(ISBLANK(A124)),SUMIF($J$3:$J124,$J124,$B$3:$B124)-SUMIF($J$3:$J124,$J124,$C$3:$C124)+IF(J124&lt;&gt;"Transfer",SUMIF($J$3:$J124,$J124,$F$3:$F124)-SUMIF($J$3:$J124,$J124,$E$3:$E124),0),"")</f>
        <v>-4946</v>
      </c>
      <c r="L124" s="109">
        <f t="shared" si="2"/>
        <v>-329.73333333333335</v>
      </c>
      <c r="M124" s="16"/>
    </row>
    <row r="125" spans="1:13" customFormat="1" ht="14.45" x14ac:dyDescent="0.35">
      <c r="A125" s="7">
        <v>43062</v>
      </c>
      <c r="B125" s="3"/>
      <c r="C125" s="10">
        <v>0.06</v>
      </c>
      <c r="D125" s="12">
        <f>IF(NOT(ISBLANK($A125)),SUM(B$3:B125)-SUM(C$3:C125),"")</f>
        <v>287.30999999999767</v>
      </c>
      <c r="E125" s="3">
        <v>0.06</v>
      </c>
      <c r="F125" s="10"/>
      <c r="G125" s="12">
        <f>IF(NOT(ISBLANK($A125)),SUM(E$3:E125)-SUM(F$3:F125),"")</f>
        <v>-1745.7800000000007</v>
      </c>
      <c r="H125" s="4"/>
      <c r="I125" s="14"/>
      <c r="J125" s="4" t="s">
        <v>18</v>
      </c>
      <c r="K125" s="109">
        <f>IF(NOT(ISBLANK(A125)),SUMIF($J$3:$J125,$J125,$B$3:$B125)-SUMIF($J$3:$J125,$J125,$C$3:$C125)+IF(J125&lt;&gt;"Transfer",SUMIF($J$3:$J125,$J125,$F$3:$F125)-SUMIF($J$3:$J125,$J125,$E$3:$E125),0),"")</f>
        <v>-4946.0600000000004</v>
      </c>
      <c r="L125" s="109">
        <f t="shared" si="2"/>
        <v>-329.73733333333337</v>
      </c>
      <c r="M125" s="16"/>
    </row>
    <row r="126" spans="1:13" customFormat="1" ht="14.45" x14ac:dyDescent="0.35">
      <c r="A126" s="8">
        <v>43063</v>
      </c>
      <c r="B126" s="5"/>
      <c r="C126" s="11"/>
      <c r="D126" s="13">
        <f>IF(NOT(ISBLANK($A126)),SUM(B$3:B126)-SUM(C$3:C126),"")</f>
        <v>287.30999999999767</v>
      </c>
      <c r="E126" s="5"/>
      <c r="F126" s="11">
        <v>32.51</v>
      </c>
      <c r="G126" s="13">
        <f>IF(NOT(ISBLANK($A126)),SUM(E$3:E126)-SUM(F$3:F126),"")</f>
        <v>-1778.2900000000009</v>
      </c>
      <c r="H126" s="6"/>
      <c r="I126" s="15">
        <v>71535</v>
      </c>
      <c r="J126" s="6" t="s">
        <v>10</v>
      </c>
      <c r="K126" s="102">
        <f>IF(NOT(ISBLANK(A126)),SUMIF($J$3:$J126,$J126,$B$3:$B126)-SUMIF($J$3:$J126,$J126,$C$3:$C126)+IF(J126&lt;&gt;"Transfer",SUMIF($J$3:$J126,$J126,$F$3:$F126)-SUMIF($J$3:$J126,$J126,$E$3:$E126),0),"")</f>
        <v>1523.5900000000001</v>
      </c>
      <c r="L126" s="102">
        <f t="shared" si="2"/>
        <v>101.57266666666668</v>
      </c>
      <c r="M126" s="17"/>
    </row>
    <row r="127" spans="1:13" customFormat="1" ht="14.45" x14ac:dyDescent="0.35">
      <c r="A127" s="8">
        <v>43066</v>
      </c>
      <c r="B127" s="5"/>
      <c r="C127" s="11"/>
      <c r="D127" s="13">
        <f>IF(NOT(ISBLANK($A127)),SUM(B$3:B127)-SUM(C$3:C127),"")</f>
        <v>287.30999999999767</v>
      </c>
      <c r="E127" s="5"/>
      <c r="F127" s="11">
        <v>70.25</v>
      </c>
      <c r="G127" s="13">
        <f>IF(NOT(ISBLANK($A127)),SUM(E$3:E127)-SUM(F$3:F127),"")</f>
        <v>-1848.5400000000009</v>
      </c>
      <c r="H127" s="6"/>
      <c r="I127" s="15">
        <v>72145</v>
      </c>
      <c r="J127" s="6" t="s">
        <v>10</v>
      </c>
      <c r="K127" s="102">
        <f>IF(NOT(ISBLANK(A127)),SUMIF($J$3:$J127,$J127,$B$3:$B127)-SUMIF($J$3:$J127,$J127,$C$3:$C127)+IF(J127&lt;&gt;"Transfer",SUMIF($J$3:$J127,$J127,$F$3:$F127)-SUMIF($J$3:$J127,$J127,$E$3:$E127),0),"")</f>
        <v>1593.8400000000001</v>
      </c>
      <c r="L127" s="102">
        <f t="shared" si="2"/>
        <v>106.25600000000001</v>
      </c>
      <c r="M127" s="17" t="s">
        <v>174</v>
      </c>
    </row>
    <row r="128" spans="1:13" customFormat="1" x14ac:dyDescent="0.25">
      <c r="A128" s="8">
        <v>43069</v>
      </c>
      <c r="B128" s="5"/>
      <c r="C128" s="11">
        <v>222.42</v>
      </c>
      <c r="D128" s="13">
        <f>IF(NOT(ISBLANK($A128)),SUM(B$3:B128)-SUM(C$3:C128),"")</f>
        <v>64.889999999997599</v>
      </c>
      <c r="E128" s="5"/>
      <c r="F128" s="11"/>
      <c r="G128" s="13">
        <f>IF(NOT(ISBLANK($A128)),SUM(E$3:E128)-SUM(F$3:F128),"")</f>
        <v>-1848.5400000000009</v>
      </c>
      <c r="H128" s="6"/>
      <c r="I128" s="15"/>
      <c r="J128" s="6" t="s">
        <v>14</v>
      </c>
      <c r="K128" s="102">
        <f>IF(NOT(ISBLANK(A128)),SUMIF($J$3:$J128,$J128,$B$3:$B128)-SUMIF($J$3:$J128,$J128,$C$3:$C128)+IF(J128&lt;&gt;"Transfer",SUMIF($J$3:$J128,$J128,$F$3:$F128)-SUMIF($J$3:$J128,$J128,$E$3:$E128),0),"")</f>
        <v>-1891.4600000000005</v>
      </c>
      <c r="L128" s="102">
        <f t="shared" si="2"/>
        <v>-126.09733333333337</v>
      </c>
      <c r="M128" s="17"/>
    </row>
    <row r="129" spans="1:13" customFormat="1" x14ac:dyDescent="0.25">
      <c r="A129" s="7">
        <v>43071</v>
      </c>
      <c r="B129" s="3"/>
      <c r="C129" s="10"/>
      <c r="D129" s="12">
        <f>IF(NOT(ISBLANK($A129)),SUM(B$3:B129)-SUM(C$3:C129),"")</f>
        <v>64.889999999997599</v>
      </c>
      <c r="E129" s="3">
        <v>70.25</v>
      </c>
      <c r="F129" s="10"/>
      <c r="G129" s="12">
        <f>IF(NOT(ISBLANK($A129)),SUM(E$3:E129)-SUM(F$3:F129),"")</f>
        <v>-1778.2900000000009</v>
      </c>
      <c r="H129" s="4"/>
      <c r="I129" s="14"/>
      <c r="J129" s="4" t="s">
        <v>18</v>
      </c>
      <c r="K129" s="109">
        <f>IF(NOT(ISBLANK(A129)),SUMIF($J$3:$J129,$J129,$B$3:$B129)-SUMIF($J$3:$J129,$J129,$C$3:$C129)+IF(J129&lt;&gt;"Transfer",SUMIF($J$3:$J129,$J129,$F$3:$F129)-SUMIF($J$3:$J129,$J129,$E$3:$E129),0),"")</f>
        <v>-4946.0600000000004</v>
      </c>
      <c r="L129" s="109">
        <f t="shared" ref="L129:L146" si="3">IF(NOT(ISBLANK(A129)),IFERROR(K129/ROUND((A129-$A$3)/14,0),""),"")</f>
        <v>-329.73733333333337</v>
      </c>
      <c r="M129" s="16" t="s">
        <v>193</v>
      </c>
    </row>
    <row r="130" spans="1:13" customFormat="1" x14ac:dyDescent="0.25">
      <c r="A130" s="7">
        <v>43072</v>
      </c>
      <c r="B130" s="3"/>
      <c r="C130" s="10"/>
      <c r="D130" s="12">
        <f>IF(NOT(ISBLANK($A130)),SUM(B$3:B130)-SUM(C$3:C130),"")</f>
        <v>64.889999999997599</v>
      </c>
      <c r="E130" s="3"/>
      <c r="F130" s="10">
        <v>71</v>
      </c>
      <c r="G130" s="12">
        <f>IF(NOT(ISBLANK($A130)),SUM(E$3:E130)-SUM(F$3:F130),"")</f>
        <v>-1849.2900000000009</v>
      </c>
      <c r="H130" s="4"/>
      <c r="I130" s="14">
        <v>72730</v>
      </c>
      <c r="J130" s="4" t="s">
        <v>10</v>
      </c>
      <c r="K130" s="109">
        <f>IF(NOT(ISBLANK(A130)),SUMIF($J$3:$J130,$J130,$B$3:$B130)-SUMIF($J$3:$J130,$J130,$C$3:$C130)+IF(J130&lt;&gt;"Transfer",SUMIF($J$3:$J130,$J130,$F$3:$F130)-SUMIF($J$3:$J130,$J130,$E$3:$E130),0),"")</f>
        <v>1664.8400000000001</v>
      </c>
      <c r="L130" s="109">
        <f t="shared" si="3"/>
        <v>110.98933333333335</v>
      </c>
      <c r="M130" s="16"/>
    </row>
    <row r="131" spans="1:13" customFormat="1" x14ac:dyDescent="0.25">
      <c r="A131" s="7">
        <v>43073</v>
      </c>
      <c r="B131" s="3">
        <v>650</v>
      </c>
      <c r="C131" s="10"/>
      <c r="D131" s="12">
        <f>IF(NOT(ISBLANK($A131)),SUM(B$3:B131)-SUM(C$3:C131),"")</f>
        <v>714.8899999999976</v>
      </c>
      <c r="E131" s="3"/>
      <c r="F131" s="10"/>
      <c r="G131" s="12">
        <f>IF(NOT(ISBLANK($A131)),SUM(E$3:E131)-SUM(F$3:F131),"")</f>
        <v>-1849.2900000000009</v>
      </c>
      <c r="H131" s="4"/>
      <c r="I131" s="14"/>
      <c r="J131" s="4" t="s">
        <v>9</v>
      </c>
      <c r="K131" s="109">
        <f>IF(NOT(ISBLANK(A131)),SUMIF($J$3:$J131,$J131,$B$3:$B131)-SUMIF($J$3:$J131,$J131,$C$3:$C131)+IF(J131&lt;&gt;"Transfer",SUMIF($J$3:$J131,$J131,$F$3:$F131)-SUMIF($J$3:$J131,$J131,$E$3:$E131),0),"")</f>
        <v>9488.84</v>
      </c>
      <c r="L131" s="109">
        <f t="shared" si="3"/>
        <v>593.05250000000001</v>
      </c>
      <c r="M131" s="16"/>
    </row>
    <row r="132" spans="1:13" customFormat="1" x14ac:dyDescent="0.25">
      <c r="A132" s="8">
        <v>43073</v>
      </c>
      <c r="B132" s="5"/>
      <c r="C132" s="11">
        <v>409.5</v>
      </c>
      <c r="D132" s="13">
        <f>IF(NOT(ISBLANK($A132)),SUM(B$3:B132)-SUM(C$3:C132),"")</f>
        <v>305.3899999999976</v>
      </c>
      <c r="E132" s="5">
        <v>409.5</v>
      </c>
      <c r="F132" s="11"/>
      <c r="G132" s="13">
        <f>IF(NOT(ISBLANK($A132)),SUM(E$3:E132)-SUM(F$3:F132),"")</f>
        <v>-1439.7900000000009</v>
      </c>
      <c r="H132" s="6"/>
      <c r="I132" s="15"/>
      <c r="J132" s="6" t="s">
        <v>18</v>
      </c>
      <c r="K132" s="102">
        <f>IF(NOT(ISBLANK(A132)),SUMIF($J$3:$J132,$J132,$B$3:$B132)-SUMIF($J$3:$J132,$J132,$C$3:$C132)+IF(J132&lt;&gt;"Transfer",SUMIF($J$3:$J132,$J132,$F$3:$F132)-SUMIF($J$3:$J132,$J132,$E$3:$E132),0),"")</f>
        <v>-5355.56</v>
      </c>
      <c r="L132" s="102">
        <f t="shared" si="3"/>
        <v>-334.72250000000003</v>
      </c>
      <c r="M132" s="17"/>
    </row>
    <row r="133" spans="1:13" customFormat="1" x14ac:dyDescent="0.25">
      <c r="A133" s="8">
        <v>43074</v>
      </c>
      <c r="B133" s="5"/>
      <c r="C133" s="11"/>
      <c r="D133" s="13">
        <f>IF(NOT(ISBLANK($A133)),SUM(B$3:B133)-SUM(C$3:C133),"")</f>
        <v>305.3899999999976</v>
      </c>
      <c r="E133" s="5"/>
      <c r="F133" s="11">
        <v>3</v>
      </c>
      <c r="G133" s="13">
        <f>IF(NOT(ISBLANK($A133)),SUM(E$3:E133)-SUM(F$3:F133),"")</f>
        <v>-1442.7900000000009</v>
      </c>
      <c r="H133" s="6"/>
      <c r="I133" s="15"/>
      <c r="J133" s="6" t="s">
        <v>28</v>
      </c>
      <c r="K133" s="102">
        <f>IF(NOT(ISBLANK(A133)),SUMIF($J$3:$J133,$J133,$B$3:$B133)-SUMIF($J$3:$J133,$J133,$C$3:$C133)+IF(J133&lt;&gt;"Transfer",SUMIF($J$3:$J133,$J133,$F$3:$F133)-SUMIF($J$3:$J133,$J133,$E$3:$E133),0),"")</f>
        <v>51.5</v>
      </c>
      <c r="L133" s="102">
        <f t="shared" si="3"/>
        <v>3.21875</v>
      </c>
      <c r="M133" s="17"/>
    </row>
    <row r="134" spans="1:13" customFormat="1" x14ac:dyDescent="0.25">
      <c r="A134" s="8">
        <v>43076</v>
      </c>
      <c r="B134" s="5"/>
      <c r="C134" s="11"/>
      <c r="D134" s="13">
        <f>IF(NOT(ISBLANK($A134)),SUM(B$3:B134)-SUM(C$3:C134),"")</f>
        <v>305.3899999999976</v>
      </c>
      <c r="E134" s="5"/>
      <c r="F134" s="11">
        <v>49.4</v>
      </c>
      <c r="G134" s="13">
        <f>IF(NOT(ISBLANK($A134)),SUM(E$3:E134)-SUM(F$3:F134),"")</f>
        <v>-1492.1900000000005</v>
      </c>
      <c r="H134" s="6"/>
      <c r="I134" s="15">
        <v>73141</v>
      </c>
      <c r="J134" s="6" t="s">
        <v>10</v>
      </c>
      <c r="K134" s="102">
        <f>IF(NOT(ISBLANK(A134)),SUMIF($J$3:$J134,$J134,$B$3:$B134)-SUMIF($J$3:$J134,$J134,$C$3:$C134)+IF(J134&lt;&gt;"Transfer",SUMIF($J$3:$J134,$J134,$F$3:$F134)-SUMIF($J$3:$J134,$J134,$E$3:$E134),0),"")</f>
        <v>1714.2400000000002</v>
      </c>
      <c r="L134" s="102">
        <f t="shared" si="3"/>
        <v>107.14000000000001</v>
      </c>
      <c r="M134" s="17"/>
    </row>
    <row r="135" spans="1:13" customFormat="1" x14ac:dyDescent="0.25">
      <c r="A135" s="7">
        <v>43076</v>
      </c>
      <c r="B135" s="3"/>
      <c r="C135" s="10"/>
      <c r="D135" s="12">
        <f>IF(NOT(ISBLANK($A135)),SUM(B$3:B135)-SUM(C$3:C135),"")</f>
        <v>305.3899999999976</v>
      </c>
      <c r="E135" s="3">
        <v>1442.79</v>
      </c>
      <c r="F135" s="10"/>
      <c r="G135" s="12">
        <f>IF(NOT(ISBLANK($A135)),SUM(E$3:E135)-SUM(F$3:F135),"")</f>
        <v>-49.400000000000546</v>
      </c>
      <c r="H135" s="4"/>
      <c r="I135" s="14"/>
      <c r="J135" s="4" t="s">
        <v>18</v>
      </c>
      <c r="K135" s="109">
        <f>IF(NOT(ISBLANK(A135)),SUMIF($J$3:$J135,$J135,$B$3:$B135)-SUMIF($J$3:$J135,$J135,$C$3:$C135)+IF(J135&lt;&gt;"Transfer",SUMIF($J$3:$J135,$J135,$F$3:$F135)-SUMIF($J$3:$J135,$J135,$E$3:$E135),0),"")</f>
        <v>-5355.56</v>
      </c>
      <c r="L135" s="109">
        <f t="shared" si="3"/>
        <v>-334.72250000000003</v>
      </c>
      <c r="M135" s="16" t="s">
        <v>207</v>
      </c>
    </row>
    <row r="136" spans="1:13" customFormat="1" x14ac:dyDescent="0.25">
      <c r="A136" s="7">
        <v>43077</v>
      </c>
      <c r="B136" s="3"/>
      <c r="C136" s="10">
        <v>82.97</v>
      </c>
      <c r="D136" s="12">
        <f>IF(NOT(ISBLANK($A136)),SUM(B$3:B136)-SUM(C$3:C136),"")</f>
        <v>222.41999999999825</v>
      </c>
      <c r="E136" s="3"/>
      <c r="F136" s="10"/>
      <c r="G136" s="12">
        <f>IF(NOT(ISBLANK($A136)),SUM(E$3:E136)-SUM(F$3:F136),"")</f>
        <v>-49.400000000000546</v>
      </c>
      <c r="H136" s="4"/>
      <c r="I136" s="14"/>
      <c r="J136" s="4" t="s">
        <v>13</v>
      </c>
      <c r="K136" s="109">
        <f>IF(NOT(ISBLANK(A136)),SUMIF($J$3:$J136,$J136,$B$3:$B136)-SUMIF($J$3:$J136,$J136,$C$3:$C136)+IF(J136&lt;&gt;"Transfer",SUMIF($J$3:$J136,$J136,$F$3:$F136)-SUMIF($J$3:$J136,$J136,$E$3:$E136),0),"")</f>
        <v>-497.82000000000005</v>
      </c>
      <c r="L136" s="109">
        <f t="shared" si="3"/>
        <v>-31.113750000000003</v>
      </c>
      <c r="M136" s="16"/>
    </row>
    <row r="137" spans="1:13" customFormat="1" x14ac:dyDescent="0.25">
      <c r="A137" s="7">
        <v>43081</v>
      </c>
      <c r="B137" s="3"/>
      <c r="C137" s="10"/>
      <c r="D137" s="12">
        <f>IF(NOT(ISBLANK($A137)),SUM(B$3:B137)-SUM(C$3:C137),"")</f>
        <v>222.41999999999825</v>
      </c>
      <c r="E137" s="3"/>
      <c r="F137" s="10">
        <v>80</v>
      </c>
      <c r="G137" s="12">
        <f>IF(NOT(ISBLANK($A137)),SUM(E$3:E137)-SUM(F$3:F137),"")</f>
        <v>-129.40000000000055</v>
      </c>
      <c r="H137" s="4"/>
      <c r="I137" s="14">
        <v>73727</v>
      </c>
      <c r="J137" s="4" t="s">
        <v>10</v>
      </c>
      <c r="K137" s="109">
        <f>IF(NOT(ISBLANK(A137)),SUMIF($J$3:$J137,$J137,$B$3:$B137)-SUMIF($J$3:$J137,$J137,$C$3:$C137)+IF(J137&lt;&gt;"Transfer",SUMIF($J$3:$J137,$J137,$F$3:$F137)-SUMIF($J$3:$J137,$J137,$E$3:$E137),0),"")</f>
        <v>1794.2400000000002</v>
      </c>
      <c r="L137" s="109">
        <f t="shared" si="3"/>
        <v>112.14000000000001</v>
      </c>
      <c r="M137" s="16"/>
    </row>
    <row r="138" spans="1:13" customFormat="1" x14ac:dyDescent="0.25">
      <c r="A138" s="8">
        <v>43081</v>
      </c>
      <c r="B138" s="5"/>
      <c r="C138" s="11"/>
      <c r="D138" s="13">
        <f>IF(NOT(ISBLANK($A138)),SUM(B$3:B138)-SUM(C$3:C138),"")</f>
        <v>222.41999999999825</v>
      </c>
      <c r="E138" s="5">
        <v>80</v>
      </c>
      <c r="F138" s="11"/>
      <c r="G138" s="13">
        <f>IF(NOT(ISBLANK($A138)),SUM(E$3:E138)-SUM(F$3:F138),"")</f>
        <v>-49.400000000000546</v>
      </c>
      <c r="H138" s="6"/>
      <c r="I138" s="15"/>
      <c r="J138" s="6" t="s">
        <v>18</v>
      </c>
      <c r="K138" s="102">
        <f>IF(NOT(ISBLANK(A138)),SUMIF($J$3:$J138,$J138,$B$3:$B138)-SUMIF($J$3:$J138,$J138,$C$3:$C138)+IF(J138&lt;&gt;"Transfer",SUMIF($J$3:$J138,$J138,$F$3:$F138)-SUMIF($J$3:$J138,$J138,$E$3:$E138),0),"")</f>
        <v>-5355.56</v>
      </c>
      <c r="L138" s="102">
        <f t="shared" si="3"/>
        <v>-334.72250000000003</v>
      </c>
      <c r="M138" s="17" t="s">
        <v>193</v>
      </c>
    </row>
    <row r="139" spans="1:13" customFormat="1" x14ac:dyDescent="0.25">
      <c r="A139" s="8">
        <v>43081</v>
      </c>
      <c r="B139" s="5"/>
      <c r="C139" s="11"/>
      <c r="D139" s="13">
        <f>IF(NOT(ISBLANK($A139)),SUM(B$3:B139)-SUM(C$3:C139),"")</f>
        <v>222.41999999999825</v>
      </c>
      <c r="E139" s="5"/>
      <c r="F139" s="11">
        <v>3</v>
      </c>
      <c r="G139" s="13">
        <f>IF(NOT(ISBLANK($A139)),SUM(E$3:E139)-SUM(F$3:F139),"")</f>
        <v>-52.400000000000546</v>
      </c>
      <c r="H139" s="6"/>
      <c r="I139" s="15"/>
      <c r="J139" s="6" t="s">
        <v>28</v>
      </c>
      <c r="K139" s="102">
        <f>IF(NOT(ISBLANK(A139)),SUMIF($J$3:$J139,$J139,$B$3:$B139)-SUMIF($J$3:$J139,$J139,$C$3:$C139)+IF(J139&lt;&gt;"Transfer",SUMIF($J$3:$J139,$J139,$F$3:$F139)-SUMIF($J$3:$J139,$J139,$E$3:$E139),0),"")</f>
        <v>54.5</v>
      </c>
      <c r="L139" s="102">
        <f t="shared" si="3"/>
        <v>3.40625</v>
      </c>
      <c r="M139" s="17"/>
    </row>
    <row r="140" spans="1:13" customFormat="1" x14ac:dyDescent="0.25">
      <c r="A140" s="8">
        <v>43083</v>
      </c>
      <c r="B140" s="5"/>
      <c r="C140" s="11">
        <v>222.42</v>
      </c>
      <c r="D140" s="13">
        <f>IF(NOT(ISBLANK($A140)),SUM(B$3:B140)-SUM(C$3:C140),"")</f>
        <v>-1.8189894035458565E-12</v>
      </c>
      <c r="E140" s="5"/>
      <c r="F140" s="11"/>
      <c r="G140" s="13">
        <f>IF(NOT(ISBLANK($A140)),SUM(E$3:E140)-SUM(F$3:F140),"")</f>
        <v>-52.400000000000546</v>
      </c>
      <c r="H140" s="6"/>
      <c r="I140" s="15"/>
      <c r="J140" s="6" t="s">
        <v>14</v>
      </c>
      <c r="K140" s="102">
        <f>IF(NOT(ISBLANK(A140)),SUMIF($J$3:$J140,$J140,$B$3:$B140)-SUMIF($J$3:$J140,$J140,$C$3:$C140)+IF(J140&lt;&gt;"Transfer",SUMIF($J$3:$J140,$J140,$F$3:$F140)-SUMIF($J$3:$J140,$J140,$E$3:$E140),0),"")</f>
        <v>-2113.8800000000006</v>
      </c>
      <c r="L140" s="102">
        <f t="shared" si="3"/>
        <v>-132.11750000000004</v>
      </c>
      <c r="M140" s="17"/>
    </row>
    <row r="141" spans="1:13" customFormat="1" x14ac:dyDescent="0.25">
      <c r="A141" s="7">
        <v>43085</v>
      </c>
      <c r="B141" s="3"/>
      <c r="C141" s="10"/>
      <c r="D141" s="12">
        <f>IF(NOT(ISBLANK($A141)),SUM(B$3:B141)-SUM(C$3:C141),"")</f>
        <v>-1.8189894035458565E-12</v>
      </c>
      <c r="E141" s="3"/>
      <c r="F141" s="10">
        <v>1.5</v>
      </c>
      <c r="G141" s="12">
        <f>IF(NOT(ISBLANK($A141)),SUM(E$3:E141)-SUM(F$3:F141),"")</f>
        <v>-53.900000000000546</v>
      </c>
      <c r="H141" s="4"/>
      <c r="I141" s="14"/>
      <c r="J141" s="4" t="s">
        <v>28</v>
      </c>
      <c r="K141" s="109">
        <f>IF(NOT(ISBLANK(A141)),SUMIF($J$3:$J141,$J141,$B$3:$B141)-SUMIF($J$3:$J141,$J141,$C$3:$C141)+IF(J141&lt;&gt;"Transfer",SUMIF($J$3:$J141,$J141,$F$3:$F141)-SUMIF($J$3:$J141,$J141,$E$3:$E141),0),"")</f>
        <v>56</v>
      </c>
      <c r="L141" s="109">
        <f t="shared" si="3"/>
        <v>3.5</v>
      </c>
      <c r="M141" s="16"/>
    </row>
    <row r="142" spans="1:13" customFormat="1" x14ac:dyDescent="0.25">
      <c r="A142" s="7">
        <v>43086</v>
      </c>
      <c r="B142" s="3"/>
      <c r="C142" s="10"/>
      <c r="D142" s="12">
        <f>IF(NOT(ISBLANK($A142)),SUM(B$3:B145)-SUM(C$3:C145),"")</f>
        <v>596.09999999999854</v>
      </c>
      <c r="E142" s="3"/>
      <c r="F142" s="10">
        <v>49</v>
      </c>
      <c r="G142" s="12">
        <f>IF(NOT(ISBLANK($A142)),SUM(E$3:E145)-SUM(F$3:F145),"")</f>
        <v>-104.35000000000127</v>
      </c>
      <c r="H142" s="4"/>
      <c r="I142" s="14">
        <v>74000</v>
      </c>
      <c r="J142" s="4" t="s">
        <v>10</v>
      </c>
      <c r="K142" s="109">
        <f>IF(NOT(ISBLANK(A142)),SUMIF($J$3:$J145,$J142,$B$3:$B145)-SUMIF($J$3:$J145,$J142,$C$3:$C145)+IF(J142&lt;&gt;"Transfer",SUMIF($J$3:$J145,$J142,$F$3:$F145)-SUMIF($J$3:$J145,$J142,$E$3:$E145),0),"")</f>
        <v>1843.2400000000002</v>
      </c>
      <c r="L142" s="109">
        <f>IF(NOT(ISBLANK(A142)),IFERROR(K142/ROUND((A142-$A$3)/14,0),""),"")</f>
        <v>115.20250000000001</v>
      </c>
      <c r="M142" s="16"/>
    </row>
    <row r="143" spans="1:13" customFormat="1" x14ac:dyDescent="0.25">
      <c r="A143" s="7">
        <v>43086</v>
      </c>
      <c r="B143" s="3"/>
      <c r="C143" s="10"/>
      <c r="D143" s="12">
        <f>IF(NOT(ISBLANK($A143)),SUM(B$3:B146)-SUM(C$3:C146),"")</f>
        <v>305.38999999999942</v>
      </c>
      <c r="E143" s="3"/>
      <c r="F143" s="10">
        <v>55.35</v>
      </c>
      <c r="G143" s="12">
        <f>IF(NOT(ISBLANK($A143)),SUM(E$3:E146)-SUM(F$3:F146),"")</f>
        <v>-104.35000000000127</v>
      </c>
      <c r="H143" s="4"/>
      <c r="I143" s="14"/>
      <c r="J143" s="4" t="s">
        <v>26</v>
      </c>
      <c r="K143" s="109">
        <f>IF(NOT(ISBLANK(A143)),SUMIF($J$3:$J146,$J143,$B$3:$B146)-SUMIF($J$3:$J146,$J143,$C$3:$C146)+IF(J143&lt;&gt;"Transfer",SUMIF($J$3:$J146,$J143,$F$3:$F146)-SUMIF($J$3:$J146,$J143,$E$3:$E146),0),"")</f>
        <v>176.57</v>
      </c>
      <c r="L143" s="109">
        <f>IF(NOT(ISBLANK(A143)),IFERROR(K143/ROUND((A143-$A$3)/14,0),""),"")</f>
        <v>11.035625</v>
      </c>
      <c r="M143" s="16" t="s">
        <v>239</v>
      </c>
    </row>
    <row r="144" spans="1:13" customFormat="1" x14ac:dyDescent="0.25">
      <c r="A144" s="8">
        <v>43087</v>
      </c>
      <c r="B144" s="5">
        <v>650</v>
      </c>
      <c r="C144" s="11"/>
      <c r="D144" s="13">
        <f>IF(NOT(ISBLANK($A144)),SUM(B$3:B144)-SUM(C$3:C144),"")</f>
        <v>649.99999999999818</v>
      </c>
      <c r="E144" s="5"/>
      <c r="F144" s="11"/>
      <c r="G144" s="13">
        <f>IF(NOT(ISBLANK($A144)),SUM(E$3:E144)-SUM(F$3:F144),"")</f>
        <v>-158.25000000000091</v>
      </c>
      <c r="H144" s="6"/>
      <c r="I144" s="15"/>
      <c r="J144" s="6" t="s">
        <v>9</v>
      </c>
      <c r="K144" s="102">
        <f>IF(NOT(ISBLANK(A144)),SUMIF($J$3:$J144,$J144,$B$3:$B144)-SUMIF($J$3:$J144,$J144,$C$3:$C144)+IF(J144&lt;&gt;"Transfer",SUMIF($J$3:$J144,$J144,$F$3:$F144)-SUMIF($J$3:$J144,$J144,$E$3:$E144),0),"")</f>
        <v>10138.84</v>
      </c>
      <c r="L144" s="102">
        <f t="shared" si="3"/>
        <v>596.40235294117645</v>
      </c>
      <c r="M144" s="17"/>
    </row>
    <row r="145" spans="1:13" customFormat="1" x14ac:dyDescent="0.25">
      <c r="A145" s="8">
        <v>43087</v>
      </c>
      <c r="B145" s="5"/>
      <c r="C145" s="11">
        <v>53.9</v>
      </c>
      <c r="D145" s="13">
        <f>IF(NOT(ISBLANK($A145)),SUM(B$3:B145)-SUM(C$3:C145),"")</f>
        <v>596.09999999999854</v>
      </c>
      <c r="E145" s="5">
        <v>53.9</v>
      </c>
      <c r="F145" s="11"/>
      <c r="G145" s="13">
        <f>IF(NOT(ISBLANK($A145)),SUM(E$3:E145)-SUM(F$3:F145),"")</f>
        <v>-104.35000000000127</v>
      </c>
      <c r="H145" s="6"/>
      <c r="I145" s="15"/>
      <c r="J145" s="6" t="s">
        <v>18</v>
      </c>
      <c r="K145" s="102">
        <f>IF(NOT(ISBLANK(A145)),SUMIF($J$3:$J145,$J145,$B$3:$B145)-SUMIF($J$3:$J145,$J145,$C$3:$C145)+IF(J145&lt;&gt;"Transfer",SUMIF($J$3:$J145,$J145,$F$3:$F145)-SUMIF($J$3:$J145,$J145,$E$3:$E145),0),"")</f>
        <v>-5409.46</v>
      </c>
      <c r="L145" s="102">
        <f t="shared" si="3"/>
        <v>-318.20352941176469</v>
      </c>
      <c r="M145" s="17"/>
    </row>
    <row r="146" spans="1:13" customFormat="1" x14ac:dyDescent="0.25">
      <c r="A146" s="8">
        <v>43087</v>
      </c>
      <c r="B146" s="5"/>
      <c r="C146" s="11">
        <v>290.70999999999998</v>
      </c>
      <c r="D146" s="13">
        <f>IF(NOT(ISBLANK($A146)),SUM(B$3:B146)-SUM(C$3:C146),"")</f>
        <v>305.38999999999942</v>
      </c>
      <c r="E146" s="5"/>
      <c r="F146" s="11"/>
      <c r="G146" s="13">
        <f>IF(NOT(ISBLANK($A146)),SUM(E$3:E146)-SUM(F$3:F146),"")</f>
        <v>-104.35000000000127</v>
      </c>
      <c r="H146" s="6"/>
      <c r="I146" s="15"/>
      <c r="J146" s="6" t="s">
        <v>18</v>
      </c>
      <c r="K146" s="102">
        <f>IF(NOT(ISBLANK(A146)),SUMIF($J$3:$J146,$J146,$B$3:$B146)-SUMIF($J$3:$J146,$J146,$C$3:$C146)+IF(J146&lt;&gt;"Transfer",SUMIF($J$3:$J146,$J146,$F$3:$F146)-SUMIF($J$3:$J146,$J146,$E$3:$E146),0),"")</f>
        <v>-5700.17</v>
      </c>
      <c r="L146" s="102">
        <f t="shared" si="3"/>
        <v>-335.30411764705883</v>
      </c>
      <c r="M146" s="17" t="s">
        <v>207</v>
      </c>
    </row>
    <row r="147" spans="1:13" customFormat="1" x14ac:dyDescent="0.25">
      <c r="A147" s="7">
        <v>43086</v>
      </c>
      <c r="B147" s="3"/>
      <c r="C147" s="10"/>
      <c r="D147" s="12">
        <f>IF(NOT(ISBLANK($A147)),SUM(B$3:B147)-SUM(C$3:C147),"")</f>
        <v>305.38999999999942</v>
      </c>
      <c r="E147" s="3"/>
      <c r="F147" s="10">
        <v>49</v>
      </c>
      <c r="G147" s="12">
        <f>IF(NOT(ISBLANK($A147)),SUM(E$3:E147)-SUM(F$3:F147),"")</f>
        <v>-153.35000000000127</v>
      </c>
      <c r="H147" s="4"/>
      <c r="I147" s="14"/>
      <c r="J147" s="4" t="s">
        <v>10</v>
      </c>
      <c r="K147" s="109">
        <f>IF(NOT(ISBLANK(A147)),SUMIF($J$3:$J147,$J147,$B$3:$B147)-SUMIF($J$3:$J147,$J147,$C$3:$C147)+IF(J147&lt;&gt;"Transfer",SUMIF($J$3:$J147,$J147,$F$3:$F147)-SUMIF($J$3:$J147,$J147,$E$3:$E147),0),"")</f>
        <v>1892.2400000000002</v>
      </c>
      <c r="L147" s="109">
        <f t="shared" ref="L147:L161" si="4">IF(NOT(ISBLANK(A147)),IFERROR(K147/ROUND((A147-$A$3)/14,0),""),"")</f>
        <v>118.26500000000001</v>
      </c>
      <c r="M147" s="16"/>
    </row>
    <row r="148" spans="1:13" customFormat="1" x14ac:dyDescent="0.25">
      <c r="A148" s="7">
        <v>43088</v>
      </c>
      <c r="B148" s="3"/>
      <c r="C148" s="10"/>
      <c r="D148" s="12">
        <f>IF(NOT(ISBLANK($A148)),SUM(B$3:B148)-SUM(C$3:C148),"")</f>
        <v>305.38999999999942</v>
      </c>
      <c r="E148" s="3"/>
      <c r="F148" s="10">
        <v>4.5</v>
      </c>
      <c r="G148" s="12">
        <f>IF(NOT(ISBLANK($A148)),SUM(E$3:E148)-SUM(F$3:F148),"")</f>
        <v>-157.85000000000127</v>
      </c>
      <c r="H148" s="4"/>
      <c r="I148" s="14"/>
      <c r="J148" s="4" t="s">
        <v>28</v>
      </c>
      <c r="K148" s="109">
        <f>IF(NOT(ISBLANK(A148)),SUMIF($J$3:$J148,$J148,$B$3:$B148)-SUMIF($J$3:$J148,$J148,$C$3:$C148)+IF(J148&lt;&gt;"Transfer",SUMIF($J$3:$J148,$J148,$F$3:$F148)-SUMIF($J$3:$J148,$J148,$E$3:$E148),0),"")</f>
        <v>60.5</v>
      </c>
      <c r="L148" s="109">
        <f t="shared" si="4"/>
        <v>3.5588235294117645</v>
      </c>
      <c r="M148" s="16"/>
    </row>
    <row r="149" spans="1:13" customFormat="1" x14ac:dyDescent="0.25">
      <c r="A149" s="7">
        <v>43095</v>
      </c>
      <c r="B149" s="3"/>
      <c r="C149" s="10"/>
      <c r="D149" s="12">
        <f>IF(NOT(ISBLANK($A149)),SUM(B$3:B149)-SUM(C$3:C149),"")</f>
        <v>305.38999999999942</v>
      </c>
      <c r="E149" s="3"/>
      <c r="F149" s="10">
        <v>69.319999999999993</v>
      </c>
      <c r="G149" s="12">
        <f>IF(NOT(ISBLANK($A149)),SUM(E$3:E149)-SUM(F$3:F149),"")</f>
        <v>-227.17000000000098</v>
      </c>
      <c r="H149" s="4"/>
      <c r="I149" s="14"/>
      <c r="J149" s="4" t="s">
        <v>10</v>
      </c>
      <c r="K149" s="109">
        <f>IF(NOT(ISBLANK(A149)),SUMIF($J$3:$J149,$J149,$B$3:$B149)-SUMIF($J$3:$J149,$J149,$C$3:$C149)+IF(J149&lt;&gt;"Transfer",SUMIF($J$3:$J149,$J149,$F$3:$F149)-SUMIF($J$3:$J149,$J149,$E$3:$E149),0),"")</f>
        <v>1961.5600000000002</v>
      </c>
      <c r="L149" s="109">
        <f t="shared" si="4"/>
        <v>115.38588235294118</v>
      </c>
      <c r="M149" s="16"/>
    </row>
    <row r="150" spans="1:13" customFormat="1" x14ac:dyDescent="0.25">
      <c r="A150" s="8">
        <v>43097</v>
      </c>
      <c r="B150" s="5"/>
      <c r="C150" s="11">
        <v>222.42</v>
      </c>
      <c r="D150" s="13">
        <f>IF(NOT(ISBLANK($A150)),SUM(B$3:B150)-SUM(C$3:C150),"")</f>
        <v>82.969999999999345</v>
      </c>
      <c r="E150" s="5"/>
      <c r="F150" s="11"/>
      <c r="G150" s="13">
        <f>IF(NOT(ISBLANK($A150)),SUM(E$3:E150)-SUM(F$3:F150),"")</f>
        <v>-227.17000000000098</v>
      </c>
      <c r="H150" s="6"/>
      <c r="I150" s="15"/>
      <c r="J150" s="6" t="s">
        <v>14</v>
      </c>
      <c r="K150" s="102">
        <f>IF(NOT(ISBLANK(A150)),SUMIF($J$3:$J150,$J150,$B$3:$B150)-SUMIF($J$3:$J150,$J150,$C$3:$C150)+IF(J150&lt;&gt;"Transfer",SUMIF($J$3:$J150,$J150,$F$3:$F150)-SUMIF($J$3:$J150,$J150,$E$3:$E150),0),"")</f>
        <v>-2336.3000000000006</v>
      </c>
      <c r="L150" s="102">
        <f t="shared" ref="L150:L155" si="5">IF(NOT(ISBLANK(A150)),IFERROR(K150/ROUND((A150-$A$3)/14,0),""),"")</f>
        <v>-137.42941176470592</v>
      </c>
      <c r="M150" s="17"/>
    </row>
    <row r="151" spans="1:13" customFormat="1" x14ac:dyDescent="0.25">
      <c r="A151" s="8">
        <v>43100</v>
      </c>
      <c r="B151" s="5"/>
      <c r="C151" s="11"/>
      <c r="D151" s="13">
        <f>IF(NOT(ISBLANK($A151)),SUM(B$3:B151)-SUM(C$3:C151),"")</f>
        <v>82.969999999999345</v>
      </c>
      <c r="E151" s="5"/>
      <c r="F151" s="11">
        <v>76.010000000000005</v>
      </c>
      <c r="G151" s="13">
        <f>IF(NOT(ISBLANK($A151)),SUM(E$3:E151)-SUM(F$3:F151),"")</f>
        <v>-303.1800000000012</v>
      </c>
      <c r="H151" s="6"/>
      <c r="I151" s="15"/>
      <c r="J151" s="6" t="s">
        <v>10</v>
      </c>
      <c r="K151" s="102">
        <f>IF(NOT(ISBLANK(A151)),SUMIF($J$3:$J151,$J151,$B$3:$B151)-SUMIF($J$3:$J151,$J151,$C$3:$C151)+IF(J151&lt;&gt;"Transfer",SUMIF($J$3:$J151,$J151,$F$3:$F151)-SUMIF($J$3:$J151,$J151,$E$3:$E151),0),"")</f>
        <v>2037.5700000000004</v>
      </c>
      <c r="L151" s="102">
        <f t="shared" ref="L151" si="6">IF(NOT(ISBLANK(A151)),IFERROR(K151/ROUND((A151-$A$3)/14,0),""),"")</f>
        <v>119.85705882352943</v>
      </c>
      <c r="M151" s="17"/>
    </row>
    <row r="152" spans="1:13" customFormat="1" x14ac:dyDescent="0.25">
      <c r="A152" s="8"/>
      <c r="B152" s="5"/>
      <c r="C152" s="11"/>
      <c r="D152" s="13" t="str">
        <f>IF(NOT(ISBLANK($A152)),SUM(B$3:B152)-SUM(C$3:C152),"")</f>
        <v/>
      </c>
      <c r="E152" s="5"/>
      <c r="F152" s="11"/>
      <c r="G152" s="13" t="str">
        <f>IF(NOT(ISBLANK($A152)),SUM(E$3:E152)-SUM(F$3:F152),"")</f>
        <v/>
      </c>
      <c r="H152" s="6"/>
      <c r="I152" s="15"/>
      <c r="J152" s="6"/>
      <c r="K152" s="102" t="str">
        <f>IF(NOT(ISBLANK(A152)),SUMIF($J$3:$J152,$J152,$B$3:$B152)-SUMIF($J$3:$J152,$J152,$C$3:$C152)+IF(J152&lt;&gt;"Transfer",SUMIF($J$3:$J152,$J152,$F$3:$F152)-SUMIF($J$3:$J152,$J152,$E$3:$E152),0),"")</f>
        <v/>
      </c>
      <c r="L152" s="102" t="str">
        <f t="shared" si="5"/>
        <v/>
      </c>
      <c r="M152" s="17"/>
    </row>
    <row r="153" spans="1:13" customFormat="1" x14ac:dyDescent="0.25">
      <c r="A153" s="7"/>
      <c r="B153" s="3"/>
      <c r="C153" s="10"/>
      <c r="D153" s="12" t="str">
        <f>IF(NOT(ISBLANK($A153)),SUM(B$3:B153)-SUM(C$3:C153),"")</f>
        <v/>
      </c>
      <c r="E153" s="3"/>
      <c r="F153" s="10"/>
      <c r="G153" s="12" t="str">
        <f>IF(NOT(ISBLANK($A153)),SUM(E$3:E153)-SUM(F$3:F153),"")</f>
        <v/>
      </c>
      <c r="H153" s="4"/>
      <c r="I153" s="14"/>
      <c r="J153" s="4"/>
      <c r="K153" s="109" t="str">
        <f>IF(NOT(ISBLANK(A153)),SUMIF($J$3:$J153,$J153,$B$3:$B153)-SUMIF($J$3:$J153,$J153,$C$3:$C153)+IF(J153&lt;&gt;"Transfer",SUMIF($J$3:$J153,$J153,$F$3:$F153)-SUMIF($J$3:$J153,$J153,$E$3:$E153),0),"")</f>
        <v/>
      </c>
      <c r="L153" s="109" t="str">
        <f t="shared" si="5"/>
        <v/>
      </c>
      <c r="M153" s="16"/>
    </row>
    <row r="154" spans="1:13" customFormat="1" x14ac:dyDescent="0.25">
      <c r="A154" s="7"/>
      <c r="B154" s="3"/>
      <c r="C154" s="10"/>
      <c r="D154" s="12" t="str">
        <f>IF(NOT(ISBLANK($A154)),SUM(B$3:B154)-SUM(C$3:C154),"")</f>
        <v/>
      </c>
      <c r="E154" s="3"/>
      <c r="F154" s="10"/>
      <c r="G154" s="12" t="str">
        <f>IF(NOT(ISBLANK($A154)),SUM(E$3:E154)-SUM(F$3:F154),"")</f>
        <v/>
      </c>
      <c r="H154" s="4"/>
      <c r="I154" s="14"/>
      <c r="J154" s="4"/>
      <c r="K154" s="109" t="str">
        <f>IF(NOT(ISBLANK(A154)),SUMIF($J$3:$J154,$J154,$B$3:$B154)-SUMIF($J$3:$J154,$J154,$C$3:$C154)+IF(J154&lt;&gt;"Transfer",SUMIF($J$3:$J154,$J154,$F$3:$F154)-SUMIF($J$3:$J154,$J154,$E$3:$E154),0),"")</f>
        <v/>
      </c>
      <c r="L154" s="109" t="str">
        <f t="shared" si="5"/>
        <v/>
      </c>
      <c r="M154" s="16"/>
    </row>
    <row r="155" spans="1:13" customFormat="1" x14ac:dyDescent="0.25">
      <c r="A155" s="7"/>
      <c r="B155" s="3"/>
      <c r="C155" s="10"/>
      <c r="D155" s="12" t="str">
        <f>IF(NOT(ISBLANK($A155)),SUM(B$3:B155)-SUM(C$3:C155),"")</f>
        <v/>
      </c>
      <c r="E155" s="3"/>
      <c r="F155" s="10"/>
      <c r="G155" s="12" t="str">
        <f>IF(NOT(ISBLANK($A155)),SUM(E$3:E155)-SUM(F$3:F155),"")</f>
        <v/>
      </c>
      <c r="H155" s="4"/>
      <c r="I155" s="14"/>
      <c r="J155" s="4"/>
      <c r="K155" s="109" t="str">
        <f>IF(NOT(ISBLANK(A155)),SUMIF($J$3:$J155,$J155,$B$3:$B155)-SUMIF($J$3:$J155,$J155,$C$3:$C155)+IF(J155&lt;&gt;"Transfer",SUMIF($J$3:$J155,$J155,$F$3:$F155)-SUMIF($J$3:$J155,$J155,$E$3:$E155),0),"")</f>
        <v/>
      </c>
      <c r="L155" s="109" t="str">
        <f t="shared" si="5"/>
        <v/>
      </c>
      <c r="M155" s="16"/>
    </row>
    <row r="156" spans="1:13" customFormat="1" x14ac:dyDescent="0.25">
      <c r="A156" s="8"/>
      <c r="B156" s="5"/>
      <c r="C156" s="11"/>
      <c r="D156" s="13" t="str">
        <f>IF(NOT(ISBLANK($A156)),SUM(B$3:B156)-SUM(C$3:C156),"")</f>
        <v/>
      </c>
      <c r="E156" s="5"/>
      <c r="F156" s="11"/>
      <c r="G156" s="13" t="str">
        <f>IF(NOT(ISBLANK($A156)),SUM(E$3:E156)-SUM(F$3:F156),"")</f>
        <v/>
      </c>
      <c r="H156" s="6"/>
      <c r="I156" s="15"/>
      <c r="J156" s="6"/>
      <c r="K156" s="102" t="str">
        <f>IF(NOT(ISBLANK(A156)),SUMIF($J$3:$J156,$J156,$B$3:$B156)-SUMIF($J$3:$J156,$J156,$C$3:$C156)+IF(J156&lt;&gt;"Transfer",SUMIF($J$3:$J156,$J156,$F$3:$F156)-SUMIF($J$3:$J156,$J156,$E$3:$E156),0),"")</f>
        <v/>
      </c>
      <c r="L156" s="102" t="str">
        <f t="shared" si="4"/>
        <v/>
      </c>
      <c r="M156" s="17"/>
    </row>
    <row r="157" spans="1:13" customFormat="1" x14ac:dyDescent="0.25">
      <c r="A157" s="8"/>
      <c r="B157" s="5"/>
      <c r="C157" s="11"/>
      <c r="D157" s="13" t="str">
        <f>IF(NOT(ISBLANK($A157)),SUM(B$3:B157)-SUM(C$3:C157),"")</f>
        <v/>
      </c>
      <c r="E157" s="5"/>
      <c r="F157" s="11"/>
      <c r="G157" s="13" t="str">
        <f>IF(NOT(ISBLANK($A157)),SUM(E$3:E157)-SUM(F$3:F157),"")</f>
        <v/>
      </c>
      <c r="H157" s="6"/>
      <c r="I157" s="15"/>
      <c r="J157" s="6"/>
      <c r="K157" s="102" t="str">
        <f>IF(NOT(ISBLANK(A157)),SUMIF($J$3:$J157,$J157,$B$3:$B157)-SUMIF($J$3:$J157,$J157,$C$3:$C157)+IF(J157&lt;&gt;"Transfer",SUMIF($J$3:$J157,$J157,$F$3:$F157)-SUMIF($J$3:$J157,$J157,$E$3:$E157),0),"")</f>
        <v/>
      </c>
      <c r="L157" s="102" t="str">
        <f t="shared" si="4"/>
        <v/>
      </c>
      <c r="M157" s="17"/>
    </row>
    <row r="158" spans="1:13" customFormat="1" x14ac:dyDescent="0.25">
      <c r="A158" s="8"/>
      <c r="B158" s="5"/>
      <c r="C158" s="11"/>
      <c r="D158" s="13" t="str">
        <f>IF(NOT(ISBLANK($A158)),SUM(B$3:B158)-SUM(C$3:C158),"")</f>
        <v/>
      </c>
      <c r="E158" s="5"/>
      <c r="F158" s="11"/>
      <c r="G158" s="13" t="str">
        <f>IF(NOT(ISBLANK($A158)),SUM(E$3:E158)-SUM(F$3:F158),"")</f>
        <v/>
      </c>
      <c r="H158" s="6"/>
      <c r="I158" s="15"/>
      <c r="J158" s="6"/>
      <c r="K158" s="102" t="str">
        <f>IF(NOT(ISBLANK(A158)),SUMIF($J$3:$J158,$J158,$B$3:$B158)-SUMIF($J$3:$J158,$J158,$C$3:$C158)+IF(J158&lt;&gt;"Transfer",SUMIF($J$3:$J158,$J158,$F$3:$F158)-SUMIF($J$3:$J158,$J158,$E$3:$E158),0),"")</f>
        <v/>
      </c>
      <c r="L158" s="102" t="str">
        <f t="shared" si="4"/>
        <v/>
      </c>
      <c r="M158" s="17"/>
    </row>
    <row r="159" spans="1:13" customFormat="1" x14ac:dyDescent="0.25">
      <c r="A159" s="7"/>
      <c r="B159" s="3"/>
      <c r="C159" s="10"/>
      <c r="D159" s="12" t="str">
        <f>IF(NOT(ISBLANK($A159)),SUM(B$3:B159)-SUM(C$3:C159),"")</f>
        <v/>
      </c>
      <c r="E159" s="3"/>
      <c r="F159" s="10"/>
      <c r="G159" s="12" t="str">
        <f>IF(NOT(ISBLANK($A159)),SUM(E$3:E159)-SUM(F$3:F159),"")</f>
        <v/>
      </c>
      <c r="H159" s="4"/>
      <c r="I159" s="14"/>
      <c r="J159" s="4"/>
      <c r="K159" s="109" t="str">
        <f>IF(NOT(ISBLANK(A159)),SUMIF($J$3:$J159,$J159,$B$3:$B159)-SUMIF($J$3:$J159,$J159,$C$3:$C159)+IF(J159&lt;&gt;"Transfer",SUMIF($J$3:$J159,$J159,$F$3:$F159)-SUMIF($J$3:$J159,$J159,$E$3:$E159),0),"")</f>
        <v/>
      </c>
      <c r="L159" s="109" t="str">
        <f t="shared" si="4"/>
        <v/>
      </c>
      <c r="M159" s="16"/>
    </row>
    <row r="160" spans="1:13" customFormat="1" x14ac:dyDescent="0.25">
      <c r="A160" s="7"/>
      <c r="B160" s="3"/>
      <c r="C160" s="10"/>
      <c r="D160" s="12" t="str">
        <f>IF(NOT(ISBLANK($A160)),SUM(B$3:B160)-SUM(C$3:C160),"")</f>
        <v/>
      </c>
      <c r="E160" s="3"/>
      <c r="F160" s="10"/>
      <c r="G160" s="12" t="str">
        <f>IF(NOT(ISBLANK($A160)),SUM(E$3:E160)-SUM(F$3:F160),"")</f>
        <v/>
      </c>
      <c r="H160" s="4"/>
      <c r="I160" s="14"/>
      <c r="J160" s="4"/>
      <c r="K160" s="109" t="str">
        <f>IF(NOT(ISBLANK(A160)),SUMIF($J$3:$J160,$J160,$B$3:$B160)-SUMIF($J$3:$J160,$J160,$C$3:$C160)+IF(J160&lt;&gt;"Transfer",SUMIF($J$3:$J160,$J160,$F$3:$F160)-SUMIF($J$3:$J160,$J160,$E$3:$E160),0),"")</f>
        <v/>
      </c>
      <c r="L160" s="109" t="str">
        <f t="shared" si="4"/>
        <v/>
      </c>
      <c r="M160" s="16"/>
    </row>
    <row r="161" spans="1:13" customFormat="1" ht="15.75" thickBot="1" x14ac:dyDescent="0.3">
      <c r="A161" s="7"/>
      <c r="B161" s="3"/>
      <c r="C161" s="10"/>
      <c r="D161" s="12" t="str">
        <f>IF(NOT(ISBLANK($A161)),SUM(B$3:B161)-SUM(C$3:C161),"")</f>
        <v/>
      </c>
      <c r="E161" s="3"/>
      <c r="F161" s="10"/>
      <c r="G161" s="12" t="str">
        <f>IF(NOT(ISBLANK($A161)),SUM(E$3:E161)-SUM(F$3:F161),"")</f>
        <v/>
      </c>
      <c r="H161" s="4"/>
      <c r="I161" s="14"/>
      <c r="J161" s="4"/>
      <c r="K161" s="109" t="str">
        <f>IF(NOT(ISBLANK(A161)),SUMIF($J$3:$J161,$J161,$B$3:$B161)-SUMIF($J$3:$J161,$J161,$C$3:$C161)+IF(J161&lt;&gt;"Transfer",SUMIF($J$3:$J161,$J161,$F$3:$F161)-SUMIF($J$3:$J161,$J161,$E$3:$E161),0),"")</f>
        <v/>
      </c>
      <c r="L161" s="109" t="str">
        <f t="shared" si="4"/>
        <v/>
      </c>
      <c r="M161" s="16"/>
    </row>
    <row r="162" spans="1:13" customFormat="1" ht="19.5" thickBot="1" x14ac:dyDescent="0.35">
      <c r="A162" s="115">
        <v>43100</v>
      </c>
      <c r="B162" s="105" t="s">
        <v>36</v>
      </c>
      <c r="C162" s="104"/>
      <c r="D162" s="106">
        <f>SUM(B$3:B161)-SUM(C$3:C161)</f>
        <v>82.969999999999345</v>
      </c>
      <c r="E162" s="105" t="s">
        <v>36</v>
      </c>
      <c r="F162" s="104"/>
      <c r="G162" s="106">
        <f>SUM(E$3:E161)-SUM(F$3:F161)</f>
        <v>-303.1800000000012</v>
      </c>
      <c r="H162" s="103"/>
      <c r="I162" s="103"/>
      <c r="J162" s="103"/>
      <c r="K162" s="103"/>
      <c r="L162" s="103"/>
      <c r="M162" s="103"/>
    </row>
    <row r="163" spans="1:13" ht="14.45" x14ac:dyDescent="0.35">
      <c r="A163" s="18" t="str">
        <f>2800*4+600&amp;" Dollars owed to line of credit"</f>
        <v>11800 Dollars owed to line of credit</v>
      </c>
      <c r="B163" s="107"/>
      <c r="C163" s="107"/>
      <c r="D163" s="107"/>
      <c r="E163" s="107"/>
      <c r="F163" s="107"/>
      <c r="G163" s="107"/>
    </row>
    <row r="164" spans="1:13" x14ac:dyDescent="0.25">
      <c r="B164" s="107"/>
      <c r="C164" s="107"/>
      <c r="D164" s="107"/>
      <c r="E164" s="107"/>
      <c r="F164" s="107"/>
      <c r="G164" s="107"/>
    </row>
    <row r="165" spans="1:13" x14ac:dyDescent="0.25">
      <c r="B165" s="107"/>
      <c r="C165" s="107"/>
      <c r="D165" s="107"/>
      <c r="E165" s="107"/>
      <c r="F165" s="107"/>
      <c r="G165" s="107"/>
    </row>
    <row r="166" spans="1:13" x14ac:dyDescent="0.25">
      <c r="B166" s="107"/>
      <c r="C166" s="107"/>
      <c r="D166" s="107"/>
      <c r="E166" s="107"/>
      <c r="F166" s="107"/>
      <c r="G166" s="107"/>
    </row>
    <row r="167" spans="1:13" x14ac:dyDescent="0.25">
      <c r="B167" s="107"/>
      <c r="C167" s="107"/>
      <c r="D167" s="107"/>
      <c r="E167" s="107"/>
      <c r="F167" s="107"/>
      <c r="G167" s="107"/>
    </row>
    <row r="168" spans="1:13" x14ac:dyDescent="0.25">
      <c r="B168" s="107"/>
      <c r="C168" s="107"/>
      <c r="D168" s="107"/>
      <c r="E168" s="107"/>
      <c r="F168" s="107"/>
      <c r="G168" s="107"/>
    </row>
    <row r="169" spans="1:13" x14ac:dyDescent="0.25">
      <c r="B169" s="107"/>
      <c r="C169" s="107"/>
      <c r="D169" s="107"/>
      <c r="E169" s="107"/>
      <c r="F169" s="107"/>
      <c r="G169" s="107"/>
    </row>
    <row r="170" spans="1:13" x14ac:dyDescent="0.25">
      <c r="B170" s="107"/>
      <c r="C170" s="107"/>
      <c r="D170" s="107"/>
      <c r="E170" s="107"/>
      <c r="F170" s="107"/>
      <c r="G170" s="107"/>
    </row>
    <row r="171" spans="1:13" x14ac:dyDescent="0.25">
      <c r="B171" s="107"/>
      <c r="C171" s="107"/>
      <c r="D171" s="107"/>
      <c r="E171" s="107"/>
      <c r="F171" s="107"/>
      <c r="G171" s="107"/>
    </row>
    <row r="172" spans="1:13" x14ac:dyDescent="0.25">
      <c r="B172" s="107"/>
      <c r="C172" s="107"/>
      <c r="D172" s="107"/>
      <c r="E172" s="107"/>
      <c r="F172" s="107"/>
      <c r="G172" s="107"/>
    </row>
    <row r="173" spans="1:13" x14ac:dyDescent="0.25">
      <c r="B173" s="107"/>
      <c r="C173" s="107"/>
      <c r="D173" s="107"/>
      <c r="E173" s="107"/>
      <c r="F173" s="107"/>
      <c r="G173" s="107"/>
    </row>
    <row r="174" spans="1:13" x14ac:dyDescent="0.25">
      <c r="B174" s="107"/>
      <c r="C174" s="107"/>
      <c r="D174" s="107"/>
      <c r="E174" s="107"/>
      <c r="F174" s="107"/>
      <c r="G174" s="107"/>
    </row>
    <row r="175" spans="1:13" x14ac:dyDescent="0.25">
      <c r="B175" s="107"/>
      <c r="C175" s="107"/>
      <c r="D175" s="107"/>
      <c r="E175" s="107"/>
      <c r="F175" s="107"/>
      <c r="G175" s="107"/>
    </row>
    <row r="176" spans="1:13" x14ac:dyDescent="0.25">
      <c r="B176" s="107"/>
      <c r="C176" s="107"/>
      <c r="D176" s="107"/>
      <c r="E176" s="107"/>
      <c r="F176" s="107"/>
      <c r="G176" s="107"/>
    </row>
    <row r="177" spans="2:7" x14ac:dyDescent="0.25">
      <c r="B177" s="107"/>
      <c r="C177" s="107"/>
      <c r="D177" s="107"/>
      <c r="E177" s="107"/>
      <c r="F177" s="107"/>
      <c r="G177" s="107"/>
    </row>
    <row r="178" spans="2:7" x14ac:dyDescent="0.25">
      <c r="B178" s="107"/>
      <c r="C178" s="107"/>
      <c r="D178" s="107"/>
      <c r="E178" s="107"/>
      <c r="F178" s="107"/>
      <c r="G178" s="107"/>
    </row>
    <row r="179" spans="2:7" x14ac:dyDescent="0.25">
      <c r="B179" s="107"/>
      <c r="C179" s="107"/>
      <c r="D179" s="107"/>
      <c r="E179" s="107"/>
      <c r="F179" s="107"/>
      <c r="G179" s="107"/>
    </row>
    <row r="180" spans="2:7" x14ac:dyDescent="0.25">
      <c r="B180" s="107"/>
      <c r="C180" s="107"/>
      <c r="D180" s="107"/>
      <c r="E180" s="107"/>
      <c r="F180" s="107"/>
      <c r="G180" s="107"/>
    </row>
    <row r="181" spans="2:7" x14ac:dyDescent="0.25">
      <c r="B181" s="107"/>
      <c r="C181" s="107"/>
      <c r="D181" s="107"/>
      <c r="E181" s="107"/>
      <c r="F181" s="107"/>
      <c r="G181" s="107"/>
    </row>
    <row r="182" spans="2:7" x14ac:dyDescent="0.25">
      <c r="B182" s="107"/>
      <c r="C182" s="107"/>
      <c r="D182" s="107"/>
      <c r="E182" s="107"/>
      <c r="F182" s="107"/>
      <c r="G182" s="107"/>
    </row>
    <row r="183" spans="2:7" x14ac:dyDescent="0.25">
      <c r="B183" s="107"/>
      <c r="C183" s="107"/>
      <c r="D183" s="107"/>
      <c r="E183" s="107"/>
      <c r="F183" s="107"/>
      <c r="G183" s="107"/>
    </row>
    <row r="184" spans="2:7" x14ac:dyDescent="0.25">
      <c r="B184" s="107"/>
      <c r="C184" s="107"/>
      <c r="D184" s="107"/>
      <c r="E184" s="107"/>
      <c r="F184" s="107"/>
      <c r="G184" s="107"/>
    </row>
    <row r="185" spans="2:7" x14ac:dyDescent="0.25">
      <c r="B185" s="107"/>
      <c r="C185" s="107"/>
      <c r="D185" s="107"/>
      <c r="E185" s="107"/>
      <c r="F185" s="107"/>
      <c r="G185" s="107"/>
    </row>
    <row r="186" spans="2:7" x14ac:dyDescent="0.25">
      <c r="B186" s="107"/>
      <c r="C186" s="107"/>
      <c r="D186" s="107"/>
      <c r="E186" s="107"/>
      <c r="F186" s="107"/>
      <c r="G186" s="107"/>
    </row>
    <row r="187" spans="2:7" x14ac:dyDescent="0.25">
      <c r="B187" s="107"/>
      <c r="C187" s="107"/>
      <c r="D187" s="107"/>
      <c r="E187" s="107"/>
      <c r="F187" s="107"/>
      <c r="G187" s="107"/>
    </row>
    <row r="188" spans="2:7" x14ac:dyDescent="0.25">
      <c r="B188" s="107"/>
      <c r="C188" s="107"/>
      <c r="D188" s="107"/>
      <c r="E188" s="107"/>
      <c r="F188" s="107"/>
      <c r="G188" s="107"/>
    </row>
    <row r="189" spans="2:7" x14ac:dyDescent="0.25">
      <c r="B189" s="107"/>
      <c r="C189" s="107"/>
      <c r="D189" s="107"/>
      <c r="E189" s="107"/>
      <c r="F189" s="107"/>
      <c r="G189" s="107"/>
    </row>
    <row r="190" spans="2:7" x14ac:dyDescent="0.25">
      <c r="B190" s="107"/>
      <c r="C190" s="107"/>
      <c r="D190" s="107"/>
      <c r="E190" s="107"/>
      <c r="F190" s="107"/>
      <c r="G190" s="107"/>
    </row>
    <row r="191" spans="2:7" x14ac:dyDescent="0.25">
      <c r="B191" s="107"/>
      <c r="C191" s="107"/>
      <c r="D191" s="107"/>
      <c r="E191" s="107"/>
      <c r="F191" s="107"/>
      <c r="G191" s="107"/>
    </row>
    <row r="192" spans="2:7" x14ac:dyDescent="0.25">
      <c r="B192" s="107"/>
      <c r="C192" s="107"/>
      <c r="D192" s="107"/>
      <c r="E192" s="107"/>
      <c r="F192" s="107"/>
      <c r="G192" s="107"/>
    </row>
    <row r="193" spans="2:7" x14ac:dyDescent="0.25">
      <c r="B193" s="107"/>
      <c r="C193" s="107"/>
      <c r="D193" s="107"/>
      <c r="E193" s="107"/>
      <c r="F193" s="107"/>
      <c r="G193" s="107"/>
    </row>
    <row r="194" spans="2:7" x14ac:dyDescent="0.25">
      <c r="B194" s="107"/>
      <c r="C194" s="107"/>
      <c r="D194" s="107"/>
      <c r="E194" s="107"/>
      <c r="F194" s="107"/>
      <c r="G194" s="107"/>
    </row>
    <row r="195" spans="2:7" x14ac:dyDescent="0.25">
      <c r="B195" s="107"/>
      <c r="C195" s="107"/>
      <c r="D195" s="107"/>
      <c r="E195" s="107"/>
      <c r="F195" s="107"/>
      <c r="G195" s="107"/>
    </row>
    <row r="196" spans="2:7" x14ac:dyDescent="0.25">
      <c r="B196" s="107"/>
      <c r="C196" s="107"/>
      <c r="D196" s="107"/>
      <c r="E196" s="107"/>
      <c r="F196" s="107"/>
      <c r="G196" s="107"/>
    </row>
    <row r="197" spans="2:7" x14ac:dyDescent="0.25">
      <c r="B197" s="107"/>
      <c r="C197" s="107"/>
      <c r="D197" s="107"/>
      <c r="E197" s="107"/>
      <c r="F197" s="107"/>
      <c r="G197" s="107"/>
    </row>
    <row r="198" spans="2:7" x14ac:dyDescent="0.25">
      <c r="B198" s="107"/>
      <c r="C198" s="107"/>
      <c r="D198" s="107"/>
      <c r="E198" s="107"/>
      <c r="F198" s="107"/>
      <c r="G198" s="107"/>
    </row>
    <row r="199" spans="2:7" x14ac:dyDescent="0.25">
      <c r="B199" s="107"/>
      <c r="C199" s="107"/>
      <c r="D199" s="107"/>
      <c r="E199" s="107"/>
      <c r="F199" s="107"/>
      <c r="G199" s="107"/>
    </row>
    <row r="200" spans="2:7" x14ac:dyDescent="0.25">
      <c r="B200" s="107"/>
      <c r="C200" s="107"/>
      <c r="D200" s="107"/>
      <c r="E200" s="107"/>
      <c r="F200" s="107"/>
      <c r="G200" s="107"/>
    </row>
    <row r="201" spans="2:7" x14ac:dyDescent="0.25">
      <c r="B201" s="107"/>
      <c r="C201" s="107"/>
      <c r="D201" s="107"/>
      <c r="E201" s="107"/>
      <c r="F201" s="107"/>
      <c r="G201" s="107"/>
    </row>
    <row r="202" spans="2:7" x14ac:dyDescent="0.25">
      <c r="B202" s="107"/>
      <c r="C202" s="107"/>
      <c r="D202" s="107"/>
      <c r="E202" s="107"/>
      <c r="F202" s="107"/>
      <c r="G202" s="107"/>
    </row>
    <row r="203" spans="2:7" x14ac:dyDescent="0.25">
      <c r="B203" s="107"/>
      <c r="C203" s="107"/>
      <c r="D203" s="107"/>
      <c r="E203" s="107"/>
      <c r="F203" s="107"/>
      <c r="G203" s="107"/>
    </row>
    <row r="204" spans="2:7" x14ac:dyDescent="0.25">
      <c r="B204" s="107"/>
      <c r="C204" s="107"/>
      <c r="D204" s="107"/>
      <c r="E204" s="107"/>
      <c r="F204" s="107"/>
      <c r="G204" s="107"/>
    </row>
    <row r="205" spans="2:7" x14ac:dyDescent="0.25">
      <c r="B205" s="107"/>
      <c r="C205" s="107"/>
      <c r="D205" s="107"/>
      <c r="E205" s="107"/>
      <c r="F205" s="107"/>
      <c r="G205" s="107"/>
    </row>
    <row r="206" spans="2:7" x14ac:dyDescent="0.25">
      <c r="B206" s="107"/>
      <c r="C206" s="107"/>
      <c r="D206" s="107"/>
      <c r="E206" s="107"/>
      <c r="F206" s="107"/>
      <c r="G206" s="107"/>
    </row>
    <row r="207" spans="2:7" x14ac:dyDescent="0.25">
      <c r="B207" s="107"/>
      <c r="C207" s="107"/>
      <c r="D207" s="107"/>
      <c r="E207" s="107"/>
      <c r="F207" s="107"/>
      <c r="G207" s="107"/>
    </row>
    <row r="208" spans="2:7" x14ac:dyDescent="0.25">
      <c r="B208" s="107"/>
      <c r="C208" s="107"/>
      <c r="D208" s="107"/>
      <c r="E208" s="107"/>
      <c r="F208" s="107"/>
      <c r="G208" s="107"/>
    </row>
    <row r="209" spans="2:7" x14ac:dyDescent="0.25">
      <c r="B209" s="107"/>
      <c r="C209" s="107"/>
      <c r="D209" s="107"/>
      <c r="E209" s="107"/>
      <c r="F209" s="107"/>
      <c r="G209" s="107"/>
    </row>
    <row r="210" spans="2:7" x14ac:dyDescent="0.25">
      <c r="B210" s="107"/>
      <c r="C210" s="107"/>
      <c r="D210" s="107"/>
      <c r="E210" s="107"/>
      <c r="F210" s="107"/>
      <c r="G210" s="107"/>
    </row>
    <row r="211" spans="2:7" x14ac:dyDescent="0.25">
      <c r="B211" s="107"/>
      <c r="C211" s="107"/>
      <c r="D211" s="107"/>
      <c r="E211" s="107"/>
      <c r="F211" s="107"/>
      <c r="G211" s="107"/>
    </row>
    <row r="212" spans="2:7" x14ac:dyDescent="0.25">
      <c r="B212" s="107"/>
      <c r="C212" s="107"/>
      <c r="D212" s="107"/>
      <c r="E212" s="107"/>
      <c r="F212" s="107"/>
      <c r="G212" s="107"/>
    </row>
    <row r="213" spans="2:7" x14ac:dyDescent="0.25">
      <c r="B213" s="107"/>
      <c r="C213" s="107"/>
      <c r="D213" s="107"/>
      <c r="E213" s="107"/>
      <c r="F213" s="107"/>
      <c r="G213" s="107"/>
    </row>
    <row r="214" spans="2:7" x14ac:dyDescent="0.25">
      <c r="B214" s="107"/>
      <c r="C214" s="107"/>
      <c r="D214" s="107"/>
      <c r="E214" s="107"/>
      <c r="F214" s="107"/>
      <c r="G214" s="107"/>
    </row>
    <row r="215" spans="2:7" x14ac:dyDescent="0.25">
      <c r="B215" s="107"/>
      <c r="C215" s="107"/>
      <c r="D215" s="107"/>
      <c r="E215" s="107"/>
      <c r="F215" s="107"/>
      <c r="G215" s="107"/>
    </row>
    <row r="216" spans="2:7" x14ac:dyDescent="0.25">
      <c r="B216" s="107"/>
      <c r="C216" s="107"/>
      <c r="D216" s="107"/>
      <c r="E216" s="107"/>
      <c r="F216" s="107"/>
      <c r="G216" s="107"/>
    </row>
    <row r="217" spans="2:7" x14ac:dyDescent="0.25">
      <c r="B217" s="107"/>
      <c r="C217" s="107"/>
      <c r="D217" s="107"/>
      <c r="E217" s="107"/>
      <c r="F217" s="107"/>
      <c r="G217" s="107"/>
    </row>
    <row r="218" spans="2:7" x14ac:dyDescent="0.25">
      <c r="B218" s="107"/>
      <c r="C218" s="107"/>
      <c r="D218" s="107"/>
      <c r="E218" s="107"/>
      <c r="F218" s="107"/>
      <c r="G218" s="107"/>
    </row>
    <row r="219" spans="2:7" x14ac:dyDescent="0.25">
      <c r="B219" s="107"/>
      <c r="C219" s="107"/>
      <c r="D219" s="107"/>
      <c r="E219" s="107"/>
      <c r="F219" s="107"/>
      <c r="G219" s="107"/>
    </row>
    <row r="220" spans="2:7" x14ac:dyDescent="0.25">
      <c r="B220" s="107"/>
      <c r="C220" s="107"/>
      <c r="D220" s="107"/>
      <c r="E220" s="107"/>
      <c r="F220" s="107"/>
      <c r="G220" s="107"/>
    </row>
    <row r="221" spans="2:7" x14ac:dyDescent="0.25">
      <c r="B221" s="107"/>
      <c r="C221" s="107"/>
      <c r="D221" s="107"/>
      <c r="E221" s="107"/>
      <c r="F221" s="107"/>
      <c r="G221" s="107"/>
    </row>
    <row r="222" spans="2:7" x14ac:dyDescent="0.25">
      <c r="B222" s="107"/>
      <c r="C222" s="107"/>
      <c r="D222" s="107"/>
      <c r="E222" s="107"/>
      <c r="F222" s="107"/>
      <c r="G222" s="107"/>
    </row>
    <row r="223" spans="2:7" x14ac:dyDescent="0.25">
      <c r="B223" s="107"/>
      <c r="C223" s="107"/>
      <c r="D223" s="107"/>
      <c r="E223" s="107"/>
      <c r="F223" s="107"/>
      <c r="G223" s="107"/>
    </row>
    <row r="224" spans="2:7" x14ac:dyDescent="0.25">
      <c r="B224" s="107"/>
      <c r="C224" s="107"/>
      <c r="D224" s="107"/>
      <c r="E224" s="107"/>
      <c r="F224" s="107"/>
      <c r="G224" s="107"/>
    </row>
    <row r="225" spans="2:7" x14ac:dyDescent="0.25">
      <c r="B225" s="107"/>
      <c r="C225" s="107"/>
      <c r="D225" s="107"/>
      <c r="E225" s="107"/>
      <c r="F225" s="107"/>
      <c r="G225" s="107"/>
    </row>
    <row r="226" spans="2:7" x14ac:dyDescent="0.25">
      <c r="B226" s="107"/>
      <c r="C226" s="107"/>
      <c r="D226" s="107"/>
      <c r="E226" s="107"/>
      <c r="F226" s="107"/>
      <c r="G226" s="107"/>
    </row>
    <row r="227" spans="2:7" x14ac:dyDescent="0.25">
      <c r="B227" s="107"/>
      <c r="C227" s="107"/>
      <c r="D227" s="107"/>
      <c r="E227" s="107"/>
      <c r="F227" s="107"/>
      <c r="G227" s="107"/>
    </row>
    <row r="228" spans="2:7" x14ac:dyDescent="0.25">
      <c r="B228" s="107"/>
      <c r="C228" s="107"/>
      <c r="D228" s="107"/>
      <c r="E228" s="107"/>
      <c r="F228" s="107"/>
      <c r="G228" s="107"/>
    </row>
    <row r="229" spans="2:7" x14ac:dyDescent="0.25">
      <c r="B229" s="107"/>
      <c r="C229" s="107"/>
      <c r="D229" s="107"/>
      <c r="E229" s="107"/>
      <c r="F229" s="107"/>
      <c r="G229" s="107"/>
    </row>
    <row r="230" spans="2:7" x14ac:dyDescent="0.25">
      <c r="B230" s="107"/>
      <c r="C230" s="107"/>
      <c r="D230" s="107"/>
      <c r="E230" s="107"/>
      <c r="F230" s="107"/>
      <c r="G230" s="107"/>
    </row>
    <row r="231" spans="2:7" x14ac:dyDescent="0.25">
      <c r="B231" s="107"/>
      <c r="C231" s="107"/>
      <c r="D231" s="107"/>
      <c r="E231" s="107"/>
      <c r="F231" s="107"/>
      <c r="G231" s="107"/>
    </row>
    <row r="232" spans="2:7" x14ac:dyDescent="0.25">
      <c r="B232" s="107"/>
      <c r="C232" s="107"/>
      <c r="D232" s="107"/>
      <c r="E232" s="107"/>
      <c r="F232" s="107"/>
      <c r="G232" s="107"/>
    </row>
    <row r="233" spans="2:7" x14ac:dyDescent="0.25">
      <c r="B233" s="107"/>
      <c r="C233" s="107"/>
      <c r="D233" s="107"/>
      <c r="E233" s="107"/>
      <c r="F233" s="107"/>
      <c r="G233" s="107"/>
    </row>
    <row r="234" spans="2:7" x14ac:dyDescent="0.25">
      <c r="B234" s="107"/>
      <c r="C234" s="107"/>
      <c r="D234" s="107"/>
      <c r="E234" s="107"/>
      <c r="F234" s="107"/>
      <c r="G234" s="107"/>
    </row>
    <row r="235" spans="2:7" x14ac:dyDescent="0.25">
      <c r="B235" s="107"/>
      <c r="C235" s="107"/>
      <c r="D235" s="107"/>
      <c r="E235" s="107"/>
      <c r="F235" s="107"/>
      <c r="G235" s="107"/>
    </row>
    <row r="236" spans="2:7" x14ac:dyDescent="0.25">
      <c r="B236" s="107"/>
      <c r="C236" s="107"/>
      <c r="D236" s="107"/>
      <c r="E236" s="107"/>
      <c r="F236" s="107"/>
      <c r="G236" s="107"/>
    </row>
    <row r="237" spans="2:7" x14ac:dyDescent="0.25">
      <c r="B237" s="107"/>
      <c r="C237" s="107"/>
      <c r="D237" s="107"/>
      <c r="E237" s="107"/>
      <c r="F237" s="107"/>
      <c r="G237" s="107"/>
    </row>
    <row r="238" spans="2:7" x14ac:dyDescent="0.25">
      <c r="B238" s="107"/>
      <c r="C238" s="107"/>
      <c r="D238" s="107"/>
      <c r="E238" s="107"/>
      <c r="F238" s="107"/>
      <c r="G238" s="107"/>
    </row>
    <row r="239" spans="2:7" x14ac:dyDescent="0.25">
      <c r="B239" s="107"/>
      <c r="C239" s="107"/>
      <c r="D239" s="107"/>
      <c r="E239" s="107"/>
      <c r="F239" s="107"/>
      <c r="G239" s="107"/>
    </row>
    <row r="240" spans="2:7" x14ac:dyDescent="0.25">
      <c r="B240" s="107"/>
      <c r="C240" s="107"/>
      <c r="D240" s="107"/>
      <c r="E240" s="107"/>
      <c r="F240" s="107"/>
      <c r="G240" s="107"/>
    </row>
    <row r="241" spans="2:7" x14ac:dyDescent="0.25">
      <c r="B241" s="107"/>
      <c r="C241" s="107"/>
      <c r="D241" s="107"/>
      <c r="E241" s="107"/>
      <c r="F241" s="107"/>
      <c r="G241" s="107"/>
    </row>
    <row r="242" spans="2:7" x14ac:dyDescent="0.25">
      <c r="B242" s="107"/>
      <c r="C242" s="107"/>
      <c r="D242" s="107"/>
      <c r="E242" s="107"/>
      <c r="F242" s="107"/>
      <c r="G242" s="107"/>
    </row>
    <row r="243" spans="2:7" x14ac:dyDescent="0.25">
      <c r="B243" s="107"/>
      <c r="C243" s="107"/>
      <c r="D243" s="107"/>
      <c r="E243" s="107"/>
      <c r="F243" s="107"/>
      <c r="G243" s="107"/>
    </row>
    <row r="244" spans="2:7" x14ac:dyDescent="0.25">
      <c r="B244" s="107"/>
      <c r="C244" s="107"/>
      <c r="D244" s="107"/>
      <c r="E244" s="107"/>
      <c r="F244" s="107"/>
      <c r="G244" s="107"/>
    </row>
    <row r="245" spans="2:7" x14ac:dyDescent="0.25">
      <c r="B245" s="107"/>
      <c r="C245" s="107"/>
      <c r="D245" s="107"/>
      <c r="E245" s="107"/>
      <c r="F245" s="107"/>
      <c r="G245" s="107"/>
    </row>
    <row r="246" spans="2:7" x14ac:dyDescent="0.25">
      <c r="B246" s="107"/>
      <c r="C246" s="107"/>
      <c r="D246" s="107"/>
      <c r="E246" s="107"/>
      <c r="F246" s="107"/>
      <c r="G246" s="107"/>
    </row>
    <row r="247" spans="2:7" x14ac:dyDescent="0.25">
      <c r="B247" s="107"/>
      <c r="C247" s="107"/>
      <c r="D247" s="107"/>
      <c r="E247" s="107"/>
      <c r="F247" s="107"/>
      <c r="G247" s="107"/>
    </row>
    <row r="248" spans="2:7" x14ac:dyDescent="0.25">
      <c r="B248" s="107"/>
      <c r="C248" s="107"/>
      <c r="D248" s="107"/>
      <c r="E248" s="107"/>
      <c r="F248" s="107"/>
      <c r="G248" s="107"/>
    </row>
    <row r="249" spans="2:7" x14ac:dyDescent="0.25">
      <c r="B249" s="107"/>
      <c r="C249" s="107"/>
      <c r="D249" s="107"/>
      <c r="E249" s="107"/>
      <c r="F249" s="107"/>
      <c r="G249" s="107"/>
    </row>
    <row r="250" spans="2:7" x14ac:dyDescent="0.25">
      <c r="B250" s="107"/>
      <c r="C250" s="107"/>
      <c r="D250" s="107"/>
      <c r="E250" s="107"/>
      <c r="F250" s="107"/>
      <c r="G250" s="107"/>
    </row>
    <row r="251" spans="2:7" x14ac:dyDescent="0.25">
      <c r="B251" s="107"/>
      <c r="C251" s="107"/>
      <c r="D251" s="107"/>
      <c r="E251" s="107"/>
      <c r="F251" s="107"/>
      <c r="G251" s="107"/>
    </row>
    <row r="252" spans="2:7" x14ac:dyDescent="0.25">
      <c r="B252" s="107"/>
      <c r="C252" s="107"/>
      <c r="D252" s="107"/>
      <c r="E252" s="107"/>
      <c r="F252" s="107"/>
      <c r="G252" s="107"/>
    </row>
    <row r="253" spans="2:7" x14ac:dyDescent="0.25">
      <c r="B253" s="107"/>
      <c r="C253" s="107"/>
      <c r="D253" s="107"/>
      <c r="E253" s="107"/>
      <c r="F253" s="107"/>
      <c r="G253" s="107"/>
    </row>
    <row r="254" spans="2:7" x14ac:dyDescent="0.25">
      <c r="B254" s="107"/>
      <c r="C254" s="107"/>
      <c r="D254" s="107"/>
      <c r="E254" s="107"/>
      <c r="F254" s="107"/>
      <c r="G254" s="107"/>
    </row>
    <row r="255" spans="2:7" x14ac:dyDescent="0.25">
      <c r="B255" s="107"/>
      <c r="C255" s="107"/>
      <c r="D255" s="107"/>
      <c r="E255" s="107"/>
      <c r="F255" s="107"/>
      <c r="G255" s="107"/>
    </row>
    <row r="256" spans="2:7" x14ac:dyDescent="0.25">
      <c r="B256" s="107"/>
      <c r="C256" s="107"/>
      <c r="D256" s="107"/>
      <c r="E256" s="107"/>
      <c r="F256" s="107"/>
      <c r="G256" s="107"/>
    </row>
    <row r="257" spans="2:7" x14ac:dyDescent="0.25">
      <c r="B257" s="107"/>
      <c r="C257" s="107"/>
      <c r="D257" s="107"/>
      <c r="E257" s="107"/>
      <c r="F257" s="107"/>
      <c r="G257" s="107"/>
    </row>
    <row r="258" spans="2:7" x14ac:dyDescent="0.25">
      <c r="B258" s="107"/>
      <c r="C258" s="107"/>
      <c r="D258" s="107"/>
      <c r="E258" s="107"/>
      <c r="F258" s="107"/>
      <c r="G258" s="107"/>
    </row>
    <row r="259" spans="2:7" x14ac:dyDescent="0.25">
      <c r="B259" s="107"/>
      <c r="C259" s="107"/>
      <c r="D259" s="107"/>
      <c r="E259" s="107"/>
      <c r="F259" s="107"/>
      <c r="G259" s="107"/>
    </row>
    <row r="260" spans="2:7" x14ac:dyDescent="0.25">
      <c r="B260" s="107"/>
      <c r="C260" s="107"/>
      <c r="D260" s="107"/>
      <c r="E260" s="107"/>
      <c r="F260" s="107"/>
      <c r="G260" s="107"/>
    </row>
    <row r="261" spans="2:7" x14ac:dyDescent="0.25">
      <c r="B261" s="107"/>
      <c r="C261" s="107"/>
      <c r="D261" s="107"/>
      <c r="E261" s="107"/>
      <c r="F261" s="107"/>
      <c r="G261" s="107"/>
    </row>
    <row r="262" spans="2:7" x14ac:dyDescent="0.25">
      <c r="B262" s="107"/>
      <c r="C262" s="107"/>
      <c r="D262" s="107"/>
      <c r="E262" s="107"/>
      <c r="F262" s="107"/>
      <c r="G262" s="107"/>
    </row>
    <row r="263" spans="2:7" x14ac:dyDescent="0.25">
      <c r="B263" s="107"/>
      <c r="C263" s="107"/>
      <c r="D263" s="107"/>
      <c r="E263" s="107"/>
      <c r="F263" s="107"/>
      <c r="G263" s="107"/>
    </row>
    <row r="264" spans="2:7" x14ac:dyDescent="0.25">
      <c r="B264" s="107"/>
      <c r="C264" s="107"/>
      <c r="D264" s="107"/>
      <c r="E264" s="107"/>
      <c r="F264" s="107"/>
      <c r="G264" s="107"/>
    </row>
    <row r="265" spans="2:7" x14ac:dyDescent="0.25">
      <c r="B265" s="107"/>
      <c r="C265" s="107"/>
      <c r="D265" s="107"/>
      <c r="E265" s="107"/>
      <c r="F265" s="107"/>
      <c r="G265" s="107"/>
    </row>
    <row r="266" spans="2:7" x14ac:dyDescent="0.25">
      <c r="B266" s="107"/>
      <c r="C266" s="107"/>
      <c r="D266" s="107"/>
      <c r="E266" s="107"/>
      <c r="F266" s="107"/>
      <c r="G266" s="107"/>
    </row>
    <row r="267" spans="2:7" x14ac:dyDescent="0.25">
      <c r="B267" s="107"/>
      <c r="C267" s="107"/>
      <c r="D267" s="107"/>
      <c r="E267" s="107"/>
      <c r="F267" s="107"/>
      <c r="G267" s="107"/>
    </row>
    <row r="268" spans="2:7" x14ac:dyDescent="0.25">
      <c r="B268" s="107"/>
      <c r="C268" s="107"/>
      <c r="D268" s="107"/>
      <c r="E268" s="107"/>
      <c r="F268" s="107"/>
      <c r="G268" s="107"/>
    </row>
  </sheetData>
  <sortState ref="A132:M145">
    <sortCondition ref="A132:A145"/>
  </sortState>
  <mergeCells count="9">
    <mergeCell ref="I1:I2"/>
    <mergeCell ref="J1:J2"/>
    <mergeCell ref="M1:M2"/>
    <mergeCell ref="A1:A2"/>
    <mergeCell ref="H1:H2"/>
    <mergeCell ref="B1:D1"/>
    <mergeCell ref="E1:G1"/>
    <mergeCell ref="K1:K2"/>
    <mergeCell ref="L1:L2"/>
  </mergeCells>
  <pageMargins left="0.70866141732283472" right="0.70866141732283472" top="0.74803149606299213" bottom="0.74803149606299213" header="0.31496062992125984" footer="0.31496062992125984"/>
  <pageSetup scale="45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S85"/>
  <sheetViews>
    <sheetView zoomScaleNormal="100" workbookViewId="0">
      <pane ySplit="870" topLeftCell="A50" activePane="bottomLeft"/>
      <selection activeCell="S1" sqref="S1:S1048576"/>
      <selection pane="bottomLeft" activeCell="R79" sqref="R79"/>
    </sheetView>
  </sheetViews>
  <sheetFormatPr defaultRowHeight="15" x14ac:dyDescent="0.25"/>
  <cols>
    <col min="1" max="1" width="30.42578125" customWidth="1"/>
    <col min="2" max="2" width="10.5703125" customWidth="1"/>
    <col min="3" max="3" width="9.85546875" bestFit="1" customWidth="1"/>
    <col min="4" max="4" width="10.5703125" customWidth="1"/>
    <col min="5" max="5" width="9" bestFit="1" customWidth="1"/>
    <col min="6" max="6" width="10.5703125" bestFit="1" customWidth="1"/>
    <col min="7" max="7" width="9.7109375" bestFit="1" customWidth="1"/>
    <col min="8" max="9" width="9" bestFit="1" customWidth="1"/>
    <col min="10" max="10" width="7.7109375" bestFit="1" customWidth="1"/>
    <col min="11" max="11" width="12.28515625" bestFit="1" customWidth="1"/>
    <col min="12" max="12" width="10.5703125" bestFit="1" customWidth="1"/>
    <col min="13" max="13" width="9" bestFit="1" customWidth="1"/>
    <col min="14" max="14" width="10.5703125" bestFit="1" customWidth="1"/>
    <col min="15" max="16" width="9" bestFit="1" customWidth="1"/>
    <col min="17" max="17" width="10.7109375" bestFit="1" customWidth="1"/>
    <col min="18" max="18" width="32.7109375" bestFit="1" customWidth="1"/>
    <col min="19" max="19" width="32.7109375" customWidth="1"/>
  </cols>
  <sheetData>
    <row r="1" spans="1:19" x14ac:dyDescent="0.25">
      <c r="A1" s="120" t="s">
        <v>0</v>
      </c>
      <c r="B1" s="122" t="s">
        <v>1</v>
      </c>
      <c r="C1" s="123"/>
      <c r="D1" s="123"/>
      <c r="E1" s="123"/>
      <c r="F1" s="124"/>
      <c r="G1" s="122" t="s">
        <v>47</v>
      </c>
      <c r="H1" s="123"/>
      <c r="I1" s="123"/>
      <c r="J1" s="123"/>
      <c r="K1" s="124"/>
      <c r="L1" s="122" t="s">
        <v>46</v>
      </c>
      <c r="M1" s="123"/>
      <c r="N1" s="123"/>
      <c r="O1" s="123"/>
      <c r="P1" s="124"/>
      <c r="Q1" s="120" t="s">
        <v>19</v>
      </c>
      <c r="R1" s="120" t="s">
        <v>3</v>
      </c>
      <c r="S1" s="120"/>
    </row>
    <row r="2" spans="1:19" x14ac:dyDescent="0.25">
      <c r="A2" s="121"/>
      <c r="B2" s="129" t="s">
        <v>4</v>
      </c>
      <c r="C2" s="128"/>
      <c r="D2" s="127" t="s">
        <v>5</v>
      </c>
      <c r="E2" s="128"/>
      <c r="F2" s="2" t="s">
        <v>36</v>
      </c>
      <c r="G2" s="1" t="s">
        <v>4</v>
      </c>
      <c r="H2" s="116"/>
      <c r="I2" s="127" t="s">
        <v>5</v>
      </c>
      <c r="J2" s="128"/>
      <c r="K2" s="2" t="s">
        <v>36</v>
      </c>
      <c r="L2" s="129" t="s">
        <v>4</v>
      </c>
      <c r="M2" s="128"/>
      <c r="N2" s="127" t="s">
        <v>5</v>
      </c>
      <c r="O2" s="128"/>
      <c r="P2" s="2" t="s">
        <v>36</v>
      </c>
      <c r="Q2" s="121"/>
      <c r="R2" s="121"/>
      <c r="S2" s="121"/>
    </row>
    <row r="3" spans="1:19" x14ac:dyDescent="0.25">
      <c r="A3" s="7">
        <v>42979</v>
      </c>
      <c r="B3" s="3"/>
      <c r="C3" s="117" t="str">
        <f>IF(SUMIF($Q$3:$Q3,$Q3,B$3:B3)&gt;0,SUMIF($Q$3:$Q3,$Q3,B$3:B3),"")</f>
        <v/>
      </c>
      <c r="D3" s="10"/>
      <c r="E3" s="117" t="str">
        <f>IF(SUMIF($Q$3:$Q3,$Q3,D$3:D3)&gt;0,SUMIF($Q$3:$Q3,$Q3,D$3:D3),"")</f>
        <v/>
      </c>
      <c r="F3" s="12">
        <f>IF(NOT(ISBLANK($A3)),SUM(B$3:B3)-SUM(D$3:D3),"")</f>
        <v>0</v>
      </c>
      <c r="G3" s="3"/>
      <c r="H3" s="117" t="str">
        <f>IF(SUMIF($Q$3:$Q3,$Q3,G$3:G3)&gt;0,SUMIF($Q$3:$Q3,$Q3,G$3:G3),"")</f>
        <v/>
      </c>
      <c r="I3" s="10"/>
      <c r="J3" s="117" t="str">
        <f>IF(SUMIF($Q$3:$Q3,$Q3,I$3:I3)&gt;0,SUMIF($Q$3:$Q3,$Q3,I$3:I3),"")</f>
        <v/>
      </c>
      <c r="K3" s="12">
        <f>IF(NOT(ISBLANK($A3)),SUM(G$3:G3)-SUM(I$3:I3),"")</f>
        <v>0</v>
      </c>
      <c r="L3" s="3"/>
      <c r="M3" s="117" t="str">
        <f>IF(SUMIF($Q$3:$Q3,$Q3,L$3:L3)&gt;0,SUMIF($Q$3:$Q3,$Q3,L$3:L3),"")</f>
        <v/>
      </c>
      <c r="N3" s="10">
        <v>2862.19</v>
      </c>
      <c r="O3" s="117">
        <f>SUMIF($Q$3:$Q3,$Q3,N$3:N3)</f>
        <v>2862.19</v>
      </c>
      <c r="P3" s="12">
        <f>IF(NOT(ISBLANK($A3)),SUM(L$3:L3)-SUM(N$3:N3),"")</f>
        <v>-2862.19</v>
      </c>
      <c r="Q3" s="4" t="s">
        <v>49</v>
      </c>
      <c r="R3" s="16" t="s">
        <v>6</v>
      </c>
      <c r="S3" s="16"/>
    </row>
    <row r="4" spans="1:19" x14ac:dyDescent="0.25">
      <c r="A4" s="7">
        <v>42979</v>
      </c>
      <c r="B4" s="3"/>
      <c r="C4" s="117" t="str">
        <f>IF(SUMIF($Q$3:$Q4,$Q4,B$3:B4)&gt;0,SUMIF($Q$3:$Q4,$Q4,B$3:B4),"")</f>
        <v/>
      </c>
      <c r="D4" s="10"/>
      <c r="E4" s="117" t="str">
        <f>IF(SUMIF($Q$3:$Q4,$Q4,D$3:D4)&gt;0,SUMIF($Q$3:$Q4,$Q4,D$3:D4),"")</f>
        <v/>
      </c>
      <c r="F4" s="12">
        <f>IF(NOT(ISBLANK($A4)),SUM(B$3:B4)-SUM(D$3:D4),"")</f>
        <v>0</v>
      </c>
      <c r="G4" s="3"/>
      <c r="H4" s="117" t="str">
        <f>IF(SUMIF($Q$3:$Q4,$Q4,G$3:G4)&gt;0,SUMIF($Q$3:$Q4,$Q4,G$3:G4),"")</f>
        <v/>
      </c>
      <c r="I4" s="10">
        <v>103.96</v>
      </c>
      <c r="J4" s="117">
        <f>IF(SUMIF($Q$3:$Q4,$Q4,I$3:I4)&gt;0,SUMIF($Q$3:$Q4,$Q4,I$3:I4),"")</f>
        <v>103.96</v>
      </c>
      <c r="K4" s="12">
        <f>IF(NOT(ISBLANK($A4)),SUM(G$3:G4)-SUM(I$3:I4),"")</f>
        <v>-103.96</v>
      </c>
      <c r="L4" s="3"/>
      <c r="M4" s="117" t="str">
        <f>IF(SUMIF($Q$3:$Q4,$Q4,L$3:L4)&gt;0,SUMIF($Q$3:$Q4,$Q4,L$3:L4),"")</f>
        <v/>
      </c>
      <c r="N4" s="10"/>
      <c r="O4" s="117" t="str">
        <f>IF(SUMIF($Q$3:$Q4,$Q4,N$3:N4)&gt;0,SUMIF($Q$3:$Q4,$Q4,N$3:N4),"")</f>
        <v/>
      </c>
      <c r="P4" s="12">
        <f>IF(NOT(ISBLANK($A4)),SUM(L$3:L4)-SUM(N$3:N4),"")</f>
        <v>-2862.19</v>
      </c>
      <c r="Q4" s="4" t="s">
        <v>53</v>
      </c>
      <c r="R4" s="16" t="s">
        <v>48</v>
      </c>
      <c r="S4" s="16"/>
    </row>
    <row r="5" spans="1:19" x14ac:dyDescent="0.25">
      <c r="A5" s="8">
        <v>42980</v>
      </c>
      <c r="B5" s="5">
        <v>3000</v>
      </c>
      <c r="C5" s="118">
        <f>IF(SUMIF($Q$3:$Q5,$Q5,B$3:B5)&gt;0,SUMIF($Q$3:$Q5,$Q5,B$3:B5),"")</f>
        <v>3000</v>
      </c>
      <c r="D5" s="11"/>
      <c r="E5" s="118" t="str">
        <f>IF(SUMIF($Q$3:$Q5,$Q5,D$3:D5)&gt;0,SUMIF($Q$3:$Q5,$Q5,D$3:D5),"")</f>
        <v/>
      </c>
      <c r="F5" s="13">
        <f>IF(NOT(ISBLANK($A5)),SUM(B$3:B5)-SUM(D$3:D5),"")</f>
        <v>3000</v>
      </c>
      <c r="G5" s="5"/>
      <c r="H5" s="118" t="str">
        <f>IF(SUMIF($Q$3:$Q5,$Q5,G$3:G5)&gt;0,SUMIF($Q$3:$Q5,$Q5,G$3:G5),"")</f>
        <v/>
      </c>
      <c r="I5" s="11"/>
      <c r="J5" s="118" t="str">
        <f>IF(SUMIF($Q$3:$Q5,$Q5,I$3:I5)&gt;0,SUMIF($Q$3:$Q5,$Q5,I$3:I5),"")</f>
        <v/>
      </c>
      <c r="K5" s="13">
        <f>IF(NOT(ISBLANK($A5)),SUM(G$3:G5)-SUM(I$3:I5),"")</f>
        <v>-103.96</v>
      </c>
      <c r="L5" s="5"/>
      <c r="M5" s="118" t="str">
        <f>IF(SUMIF($Q$3:$Q5,$Q5,L$3:L5)&gt;0,SUMIF($Q$3:$Q5,$Q5,L$3:L5),"")</f>
        <v/>
      </c>
      <c r="N5" s="11"/>
      <c r="O5" s="118" t="str">
        <f>IF(SUMIF($Q$3:$Q5,$Q5,N$3:N5)&gt;0,SUMIF($Q$3:$Q5,$Q5,N$3:N5),"")</f>
        <v/>
      </c>
      <c r="P5" s="13">
        <f>IF(NOT(ISBLANK($A5)),SUM(L$3:L5)-SUM(N$3:N5),"")</f>
        <v>-2862.19</v>
      </c>
      <c r="Q5" s="6" t="s">
        <v>9</v>
      </c>
      <c r="R5" s="17"/>
      <c r="S5" s="17"/>
    </row>
    <row r="6" spans="1:19" x14ac:dyDescent="0.25">
      <c r="A6" s="8">
        <v>42980</v>
      </c>
      <c r="B6" s="5"/>
      <c r="C6" s="118" t="str">
        <f>IF(SUMIF($Q$3:$Q6,$Q6,B$3:B6)&gt;0,SUMIF($Q$3:$Q6,$Q6,B$3:B6),"")</f>
        <v/>
      </c>
      <c r="D6" s="11">
        <v>103.96</v>
      </c>
      <c r="E6" s="118">
        <f>IF(SUMIF($Q$3:$Q6,$Q6,D$3:D6)&gt;0,SUMIF($Q$3:$Q6,$Q6,D$3:D6),"")</f>
        <v>103.96</v>
      </c>
      <c r="F6" s="13">
        <f>IF(NOT(ISBLANK($A6)),SUM(B$3:B6)-SUM(D$3:D6),"")</f>
        <v>2896.04</v>
      </c>
      <c r="G6" s="5">
        <v>103.96</v>
      </c>
      <c r="H6" s="118">
        <f>IF(SUMIF($Q$3:$Q6,$Q6,G$3:G6)&gt;0,SUMIF($Q$3:$Q6,$Q6,G$3:G6),"")</f>
        <v>103.96</v>
      </c>
      <c r="I6" s="11"/>
      <c r="J6" s="118" t="str">
        <f>IF(SUMIF($Q$3:$Q6,$Q6,I$3:I6)&gt;0,SUMIF($Q$3:$Q6,$Q6,I$3:I6),"")</f>
        <v/>
      </c>
      <c r="K6" s="13">
        <f>IF(NOT(ISBLANK($A6)),SUM(G$3:G6)-SUM(I$3:I6),"")</f>
        <v>0</v>
      </c>
      <c r="L6" s="5"/>
      <c r="M6" s="118" t="str">
        <f>IF(SUMIF($Q$3:$Q6,$Q6,L$3:L6)&gt;0,SUMIF($Q$3:$Q6,$Q6,L$3:L6),"")</f>
        <v/>
      </c>
      <c r="N6" s="11"/>
      <c r="O6" s="118" t="str">
        <f>IF(SUMIF($Q$3:$Q6,$Q6,N$3:N6)&gt;0,SUMIF($Q$3:$Q6,$Q6,N$3:N6),"")</f>
        <v/>
      </c>
      <c r="P6" s="13">
        <f>IF(NOT(ISBLANK($A6)),SUM(L$3:L6)-SUM(N$3:N6),"")</f>
        <v>-2862.19</v>
      </c>
      <c r="Q6" s="6" t="s">
        <v>18</v>
      </c>
      <c r="R6" s="17"/>
      <c r="S6" s="17"/>
    </row>
    <row r="7" spans="1:19" x14ac:dyDescent="0.25">
      <c r="A7" s="7">
        <v>42983</v>
      </c>
      <c r="B7" s="3"/>
      <c r="C7" s="117" t="str">
        <f>IF(SUMIF($Q$3:$Q7,$Q7,B$3:B7)&gt;0,SUMIF($Q$3:$Q7,$Q7,B$3:B7),"")</f>
        <v/>
      </c>
      <c r="D7" s="10">
        <v>2862.19</v>
      </c>
      <c r="E7" s="117">
        <f>IF(SUMIF($Q$3:$Q7,$Q7,D$3:D7)&gt;0,SUMIF($Q$3:$Q7,$Q7,D$3:D7),"")</f>
        <v>2862.19</v>
      </c>
      <c r="F7" s="12">
        <f>IF(NOT(ISBLANK($A7)),SUM(B$3:B7)-SUM(D$3:D7),"")</f>
        <v>33.849999999999909</v>
      </c>
      <c r="G7" s="3"/>
      <c r="H7" s="117" t="str">
        <f>IF(SUMIF($Q$3:$Q7,$Q7,G$3:G7)&gt;0,SUMIF($Q$3:$Q7,$Q7,G$3:G7),"")</f>
        <v/>
      </c>
      <c r="I7" s="10"/>
      <c r="J7" s="117" t="str">
        <f>IF(SUMIF($Q$3:$Q7,$Q7,I$3:I7)&gt;0,SUMIF($Q$3:$Q7,$Q7,I$3:I7),"")</f>
        <v/>
      </c>
      <c r="K7" s="12">
        <f>IF(NOT(ISBLANK($A7)),SUM(G$3:G7)-SUM(I$3:I7),"")</f>
        <v>0</v>
      </c>
      <c r="L7" s="3">
        <v>2862.19</v>
      </c>
      <c r="M7" s="117">
        <f>IF(SUMIF($Q$3:$Q7,$Q7,L$3:L7)&gt;0,SUMIF($Q$3:$Q7,$Q7,L$3:L7),"")</f>
        <v>2862.19</v>
      </c>
      <c r="N7" s="10"/>
      <c r="O7" s="117" t="str">
        <f>IF(SUMIF($Q$3:$Q7,$Q7,N$3:N7)&gt;0,SUMIF($Q$3:$Q7,$Q7,N$3:N7),"")</f>
        <v/>
      </c>
      <c r="P7" s="12">
        <f>IF(NOT(ISBLANK($A7)),SUM(L$3:L7)-SUM(N$3:N7),"")</f>
        <v>0</v>
      </c>
      <c r="Q7" s="4" t="s">
        <v>14</v>
      </c>
      <c r="R7" s="16"/>
      <c r="S7" s="16"/>
    </row>
    <row r="8" spans="1:19" x14ac:dyDescent="0.25">
      <c r="A8" s="7">
        <v>42984</v>
      </c>
      <c r="B8" s="3"/>
      <c r="C8" s="117" t="str">
        <f>IF(SUMIF($Q$3:$Q8,$Q8,B$3:B8)&gt;0,SUMIF($Q$3:$Q8,$Q8,B$3:B8),"")</f>
        <v/>
      </c>
      <c r="D8" s="10"/>
      <c r="E8" s="117" t="str">
        <f>IF(SUMIF($Q$3:$Q8,$Q8,D$3:D8)&gt;0,SUMIF($Q$3:$Q8,$Q8,D$3:D8),"")</f>
        <v/>
      </c>
      <c r="F8" s="12">
        <f>IF(NOT(ISBLANK($A8)),SUM(B$3:B8)-SUM(D$3:D8),"")</f>
        <v>33.849999999999909</v>
      </c>
      <c r="G8" s="3"/>
      <c r="H8" s="117" t="str">
        <f>IF(SUMIF($Q$3:$Q8,$Q8,G$3:G8)&gt;0,SUMIF($Q$3:$Q8,$Q8,G$3:G8),"")</f>
        <v/>
      </c>
      <c r="I8" s="10">
        <v>36.159999999999997</v>
      </c>
      <c r="J8" s="117">
        <f>IF(SUMIF($Q$3:$Q8,$Q8,I$3:I8)&gt;0,SUMIF($Q$3:$Q8,$Q8,I$3:I8),"")</f>
        <v>140.12</v>
      </c>
      <c r="K8" s="12">
        <f>IF(NOT(ISBLANK($A8)),SUM(G$3:G8)-SUM(I$3:I8),"")</f>
        <v>-36.160000000000011</v>
      </c>
      <c r="L8" s="3"/>
      <c r="M8" s="117" t="str">
        <f>IF(SUMIF($Q$3:$Q8,$Q8,L$3:L8)&gt;0,SUMIF($Q$3:$Q8,$Q8,L$3:L8),"")</f>
        <v/>
      </c>
      <c r="N8" s="10"/>
      <c r="O8" s="117" t="str">
        <f>IF(SUMIF($Q$3:$Q8,$Q8,N$3:N8)&gt;0,SUMIF($Q$3:$Q8,$Q8,N$3:N8),"")</f>
        <v/>
      </c>
      <c r="P8" s="12">
        <f>IF(NOT(ISBLANK($A8)),SUM(L$3:L8)-SUM(N$3:N8),"")</f>
        <v>0</v>
      </c>
      <c r="Q8" s="4" t="s">
        <v>53</v>
      </c>
      <c r="R8" s="16" t="s">
        <v>50</v>
      </c>
      <c r="S8" s="16"/>
    </row>
    <row r="9" spans="1:19" x14ac:dyDescent="0.25">
      <c r="A9" s="8">
        <v>42986</v>
      </c>
      <c r="B9" s="5"/>
      <c r="C9" s="118" t="str">
        <f>IF(SUMIF($Q$3:$Q9,$Q9,B$3:B9)&gt;0,SUMIF($Q$3:$Q9,$Q9,B$3:B9),"")</f>
        <v/>
      </c>
      <c r="D9" s="11"/>
      <c r="E9" s="118" t="str">
        <f>IF(SUMIF($Q$3:$Q9,$Q9,D$3:D9)&gt;0,SUMIF($Q$3:$Q9,$Q9,D$3:D9),"")</f>
        <v/>
      </c>
      <c r="F9" s="13">
        <f>IF(NOT(ISBLANK($A9)),SUM(B$3:B9)-SUM(D$3:D9),"")</f>
        <v>33.849999999999909</v>
      </c>
      <c r="G9" s="5"/>
      <c r="H9" s="118" t="str">
        <f>IF(SUMIF($Q$3:$Q9,$Q9,G$3:G9)&gt;0,SUMIF($Q$3:$Q9,$Q9,G$3:G9),"")</f>
        <v/>
      </c>
      <c r="I9" s="11">
        <v>20</v>
      </c>
      <c r="J9" s="118">
        <f>IF(SUMIF($Q$3:$Q9,$Q9,I$3:I9)&gt;0,SUMIF($Q$3:$Q9,$Q9,I$3:I9),"")</f>
        <v>20</v>
      </c>
      <c r="K9" s="13">
        <f>IF(NOT(ISBLANK($A9)),SUM(G$3:G9)-SUM(I$3:I9),"")</f>
        <v>-56.160000000000011</v>
      </c>
      <c r="L9" s="5"/>
      <c r="M9" s="118" t="str">
        <f>IF(SUMIF($Q$3:$Q9,$Q9,L$3:L9)&gt;0,SUMIF($Q$3:$Q9,$Q9,L$3:L9),"")</f>
        <v/>
      </c>
      <c r="N9" s="11"/>
      <c r="O9" s="118" t="str">
        <f>IF(SUMIF($Q$3:$Q9,$Q9,N$3:N9)&gt;0,SUMIF($Q$3:$Q9,$Q9,N$3:N9),"")</f>
        <v/>
      </c>
      <c r="P9" s="13">
        <f>IF(NOT(ISBLANK($A9)),SUM(L$3:L9)-SUM(N$3:N9),"")</f>
        <v>0</v>
      </c>
      <c r="Q9" s="6" t="s">
        <v>51</v>
      </c>
      <c r="R9" s="17" t="s">
        <v>52</v>
      </c>
      <c r="S9" s="17"/>
    </row>
    <row r="10" spans="1:19" x14ac:dyDescent="0.25">
      <c r="A10" s="8">
        <v>42989</v>
      </c>
      <c r="B10" s="5"/>
      <c r="C10" s="118" t="str">
        <f>IF(SUMIF($Q$3:$Q10,$Q10,B$3:B10)&gt;0,SUMIF($Q$3:$Q10,$Q10,B$3:B10),"")</f>
        <v/>
      </c>
      <c r="D10" s="11">
        <v>20</v>
      </c>
      <c r="E10" s="118">
        <f>IF(SUMIF($Q$3:$Q10,$Q10,D$3:D10)&gt;0,SUMIF($Q$3:$Q10,$Q10,D$3:D10),"")</f>
        <v>123.96</v>
      </c>
      <c r="F10" s="13">
        <f>IF(NOT(ISBLANK($A10)),SUM(B$3:B10)-SUM(D$3:D10),"")</f>
        <v>13.849999999999909</v>
      </c>
      <c r="G10" s="5">
        <v>20</v>
      </c>
      <c r="H10" s="118">
        <f>IF(SUMIF($Q$3:$Q10,$Q10,G$3:G10)&gt;0,SUMIF($Q$3:$Q10,$Q10,G$3:G10),"")</f>
        <v>123.96</v>
      </c>
      <c r="I10" s="11"/>
      <c r="J10" s="118" t="str">
        <f>IF(SUMIF($Q$3:$Q10,$Q10,I$3:I10)&gt;0,SUMIF($Q$3:$Q10,$Q10,I$3:I10),"")</f>
        <v/>
      </c>
      <c r="K10" s="13">
        <f>IF(NOT(ISBLANK($A10)),SUM(G$3:G10)-SUM(I$3:I10),"")</f>
        <v>-36.160000000000011</v>
      </c>
      <c r="L10" s="5"/>
      <c r="M10" s="118" t="str">
        <f>IF(SUMIF($Q$3:$Q10,$Q10,L$3:L10)&gt;0,SUMIF($Q$3:$Q10,$Q10,L$3:L10),"")</f>
        <v/>
      </c>
      <c r="N10" s="11"/>
      <c r="O10" s="118" t="str">
        <f>IF(SUMIF($Q$3:$Q10,$Q10,N$3:N10)&gt;0,SUMIF($Q$3:$Q10,$Q10,N$3:N10),"")</f>
        <v/>
      </c>
      <c r="P10" s="13">
        <f>IF(NOT(ISBLANK($A10)),SUM(L$3:L10)-SUM(N$3:N10),"")</f>
        <v>0</v>
      </c>
      <c r="Q10" s="6" t="s">
        <v>18</v>
      </c>
      <c r="R10" s="17"/>
      <c r="S10" s="17"/>
    </row>
    <row r="11" spans="1:19" x14ac:dyDescent="0.25">
      <c r="A11" s="7">
        <v>42995</v>
      </c>
      <c r="B11" s="3"/>
      <c r="C11" s="117" t="str">
        <f>IF(SUMIF($Q$3:$Q11,$Q11,B$3:B11)&gt;0,SUMIF($Q$3:$Q11,$Q11,B$3:B11),"")</f>
        <v/>
      </c>
      <c r="D11" s="10">
        <v>128.26</v>
      </c>
      <c r="E11" s="117">
        <f>IF(SUMIF($Q$3:$Q11,$Q11,D$3:D11)&gt;0,SUMIF($Q$3:$Q11,$Q11,D$3:D11),"")</f>
        <v>252.21999999999997</v>
      </c>
      <c r="F11" s="12">
        <f>IF(NOT(ISBLANK($A11)),SUM(B$3:B11)-SUM(D$3:D11),"")</f>
        <v>-114.40999999999985</v>
      </c>
      <c r="G11" s="3">
        <v>128.26</v>
      </c>
      <c r="H11" s="117">
        <f>IF(SUMIF($Q$3:$Q11,$Q11,G$3:G11)&gt;0,SUMIF($Q$3:$Q11,$Q11,G$3:G11),"")</f>
        <v>252.21999999999997</v>
      </c>
      <c r="I11" s="10"/>
      <c r="J11" s="117" t="str">
        <f>IF(SUMIF($Q$3:$Q11,$Q11,I$3:I11)&gt;0,SUMIF($Q$3:$Q11,$Q11,I$3:I11),"")</f>
        <v/>
      </c>
      <c r="K11" s="12">
        <f>IF(NOT(ISBLANK($A11)),SUM(G$3:G11)-SUM(I$3:I11),"")</f>
        <v>92.099999999999966</v>
      </c>
      <c r="L11" s="3"/>
      <c r="M11" s="117" t="str">
        <f>IF(SUMIF($Q$3:$Q11,$Q11,L$3:L11)&gt;0,SUMIF($Q$3:$Q11,$Q11,L$3:L11),"")</f>
        <v/>
      </c>
      <c r="N11" s="10"/>
      <c r="O11" s="117" t="str">
        <f>IF(SUMIF($Q$3:$Q11,$Q11,N$3:N11)&gt;0,SUMIF($Q$3:$Q11,$Q11,N$3:N11),"")</f>
        <v/>
      </c>
      <c r="P11" s="12">
        <f>IF(NOT(ISBLANK($A11)),SUM(L$3:L11)-SUM(N$3:N11),"")</f>
        <v>0</v>
      </c>
      <c r="Q11" s="4" t="s">
        <v>18</v>
      </c>
      <c r="R11" s="16"/>
      <c r="S11" s="16"/>
    </row>
    <row r="12" spans="1:19" x14ac:dyDescent="0.25">
      <c r="A12" s="7">
        <v>42996</v>
      </c>
      <c r="B12" s="3"/>
      <c r="C12" s="117" t="str">
        <f>IF(SUMIF($Q$3:$Q12,$Q12,B$3:B12)&gt;0,SUMIF($Q$3:$Q12,$Q12,B$3:B12),"")</f>
        <v/>
      </c>
      <c r="D12" s="10"/>
      <c r="E12" s="117" t="str">
        <f>IF(SUMIF($Q$3:$Q12,$Q12,D$3:D12)&gt;0,SUMIF($Q$3:$Q12,$Q12,D$3:D12),"")</f>
        <v/>
      </c>
      <c r="F12" s="12">
        <f>IF(NOT(ISBLANK($A12)),SUM(B$3:B12)-SUM(D$3:D12),"")</f>
        <v>-114.40999999999985</v>
      </c>
      <c r="G12" s="3"/>
      <c r="H12" s="117" t="str">
        <f>IF(SUMIF($Q$3:$Q12,$Q12,G$3:G12)&gt;0,SUMIF($Q$3:$Q12,$Q12,G$3:G12),"")</f>
        <v/>
      </c>
      <c r="I12" s="10">
        <v>92.1</v>
      </c>
      <c r="J12" s="117">
        <f>IF(SUMIF($Q$3:$Q12,$Q12,I$3:I12)&gt;0,SUMIF($Q$3:$Q12,$Q12,I$3:I12),"")</f>
        <v>232.22</v>
      </c>
      <c r="K12" s="12">
        <f>IF(NOT(ISBLANK($A12)),SUM(G$3:G12)-SUM(I$3:I12),"")</f>
        <v>-2.8421709430404007E-14</v>
      </c>
      <c r="L12" s="3"/>
      <c r="M12" s="117" t="str">
        <f>IF(SUMIF($Q$3:$Q12,$Q12,L$3:L12)&gt;0,SUMIF($Q$3:$Q12,$Q12,L$3:L12),"")</f>
        <v/>
      </c>
      <c r="N12" s="10"/>
      <c r="O12" s="117" t="str">
        <f>IF(SUMIF($Q$3:$Q12,$Q12,N$3:N12)&gt;0,SUMIF($Q$3:$Q12,$Q12,N$3:N12),"")</f>
        <v/>
      </c>
      <c r="P12" s="12">
        <f>IF(NOT(ISBLANK($A12)),SUM(L$3:L12)-SUM(N$3:N12),"")</f>
        <v>0</v>
      </c>
      <c r="Q12" s="4" t="s">
        <v>53</v>
      </c>
      <c r="R12" s="16" t="s">
        <v>54</v>
      </c>
      <c r="S12" s="16"/>
    </row>
    <row r="13" spans="1:19" x14ac:dyDescent="0.25">
      <c r="A13" s="8">
        <v>42996</v>
      </c>
      <c r="B13" s="5">
        <v>950</v>
      </c>
      <c r="C13" s="118">
        <f>IF(SUMIF($Q$3:$Q13,$Q13,B$3:B13)&gt;0,SUMIF($Q$3:$Q13,$Q13,B$3:B13),"")</f>
        <v>3950</v>
      </c>
      <c r="D13" s="11"/>
      <c r="E13" s="118" t="str">
        <f>IF(SUMIF($Q$3:$Q13,$Q13,D$3:D13)&gt;0,SUMIF($Q$3:$Q13,$Q13,D$3:D13),"")</f>
        <v/>
      </c>
      <c r="F13" s="13">
        <f>IF(NOT(ISBLANK($A13)),SUM(B$3:B13)-SUM(D$3:D13),"")</f>
        <v>835.59000000000015</v>
      </c>
      <c r="G13" s="5"/>
      <c r="H13" s="118" t="str">
        <f>IF(SUMIF($Q$3:$Q13,$Q13,G$3:G13)&gt;0,SUMIF($Q$3:$Q13,$Q13,G$3:G13),"")</f>
        <v/>
      </c>
      <c r="I13" s="11"/>
      <c r="J13" s="118" t="str">
        <f>IF(SUMIF($Q$3:$Q13,$Q13,I$3:I13)&gt;0,SUMIF($Q$3:$Q13,$Q13,I$3:I13),"")</f>
        <v/>
      </c>
      <c r="K13" s="13">
        <f>IF(NOT(ISBLANK($A13)),SUM(G$3:G13)-SUM(I$3:I13),"")</f>
        <v>-2.8421709430404007E-14</v>
      </c>
      <c r="L13" s="5"/>
      <c r="M13" s="118" t="str">
        <f>IF(SUMIF($Q$3:$Q13,$Q13,L$3:L13)&gt;0,SUMIF($Q$3:$Q13,$Q13,L$3:L13),"")</f>
        <v/>
      </c>
      <c r="N13" s="11"/>
      <c r="O13" s="118" t="str">
        <f>IF(SUMIF($Q$3:$Q13,$Q13,N$3:N13)&gt;0,SUMIF($Q$3:$Q13,$Q13,N$3:N13),"")</f>
        <v/>
      </c>
      <c r="P13" s="13">
        <f>IF(NOT(ISBLANK($A13)),SUM(L$3:L13)-SUM(N$3:N13),"")</f>
        <v>0</v>
      </c>
      <c r="Q13" s="6" t="s">
        <v>9</v>
      </c>
      <c r="R13" s="17"/>
      <c r="S13" s="17"/>
    </row>
    <row r="14" spans="1:19" x14ac:dyDescent="0.25">
      <c r="A14" s="8">
        <v>43009</v>
      </c>
      <c r="B14" s="5"/>
      <c r="C14" s="118" t="str">
        <f>IF(SUMIF($Q$3:$Q14,$Q14,B$3:B14)&gt;0,SUMIF($Q$3:$Q14,$Q14,B$3:B14),"")</f>
        <v/>
      </c>
      <c r="D14" s="11"/>
      <c r="E14" s="118" t="str">
        <f>IF(SUMIF($Q$3:$Q14,$Q14,D$3:D14)&gt;0,SUMIF($Q$3:$Q14,$Q14,D$3:D14),"")</f>
        <v/>
      </c>
      <c r="F14" s="13">
        <f>IF(NOT(ISBLANK($A14)),SUM(B$3:B14)-SUM(D$3:D14),"")</f>
        <v>835.59000000000015</v>
      </c>
      <c r="G14" s="5"/>
      <c r="H14" s="118" t="str">
        <f>IF(SUMIF($Q$3:$Q14,$Q14,G$3:G14)&gt;0,SUMIF($Q$3:$Q14,$Q14,G$3:G14),"")</f>
        <v/>
      </c>
      <c r="I14" s="11"/>
      <c r="J14" s="118" t="str">
        <f>IF(SUMIF($Q$3:$Q14,$Q14,I$3:I14)&gt;0,SUMIF($Q$3:$Q14,$Q14,I$3:I14),"")</f>
        <v/>
      </c>
      <c r="K14" s="13">
        <f>IF(NOT(ISBLANK($A14)),SUM(G$3:G14)-SUM(I$3:I14),"")</f>
        <v>-2.8421709430404007E-14</v>
      </c>
      <c r="L14" s="5"/>
      <c r="M14" s="118" t="str">
        <f>IF(SUMIF($Q$3:$Q14,$Q14,L$3:L14)&gt;0,SUMIF($Q$3:$Q14,$Q14,L$3:L14),"")</f>
        <v/>
      </c>
      <c r="N14" s="11">
        <v>1673.14</v>
      </c>
      <c r="O14" s="118">
        <f>IF(SUMIF($Q$3:$Q14,$Q14,N$3:N14)&gt;0,SUMIF($Q$3:$Q14,$Q14,N$3:N14),"")</f>
        <v>4535.33</v>
      </c>
      <c r="P14" s="13">
        <f>IF(NOT(ISBLANK($A14)),SUM(L$3:L14)-SUM(N$3:N14),"")</f>
        <v>-1673.1399999999999</v>
      </c>
      <c r="Q14" s="6" t="s">
        <v>49</v>
      </c>
      <c r="R14" s="17"/>
      <c r="S14" s="17"/>
    </row>
    <row r="15" spans="1:19" x14ac:dyDescent="0.25">
      <c r="A15" s="7">
        <f>A14</f>
        <v>43009</v>
      </c>
      <c r="B15" s="3"/>
      <c r="C15" s="117" t="str">
        <f>IF(SUMIF($Q$3:$Q15,$Q15,B$3:B15)&gt;0,SUMIF($Q$3:$Q15,$Q15,B$3:B15),"")</f>
        <v/>
      </c>
      <c r="D15" s="10"/>
      <c r="E15" s="117" t="str">
        <f>IF(SUMIF($Q$3:$Q15,$Q15,D$3:D15)&gt;0,SUMIF($Q$3:$Q15,$Q15,D$3:D15),"")</f>
        <v/>
      </c>
      <c r="F15" s="12">
        <f>IF(NOT(ISBLANK($A15)),SUM(B$3:B15)-SUM(D$3:D15),"")</f>
        <v>835.59000000000015</v>
      </c>
      <c r="G15" s="3"/>
      <c r="H15" s="117" t="str">
        <f>IF(SUMIF($Q$3:$Q15,$Q15,G$3:G15)&gt;0,SUMIF($Q$3:$Q15,$Q15,G$3:G15),"")</f>
        <v/>
      </c>
      <c r="I15" s="10">
        <v>40.630000000000003</v>
      </c>
      <c r="J15" s="117">
        <f>IF(SUMIF($Q$3:$Q15,$Q15,I$3:I15)&gt;0,SUMIF($Q$3:$Q15,$Q15,I$3:I15),"")</f>
        <v>272.85000000000002</v>
      </c>
      <c r="K15" s="12">
        <f>IF(NOT(ISBLANK($A15)),SUM(G$3:G15)-SUM(I$3:I15),"")</f>
        <v>-40.630000000000052</v>
      </c>
      <c r="L15" s="3"/>
      <c r="M15" s="117" t="str">
        <f>IF(SUMIF($Q$3:$Q15,$Q15,L$3:L15)&gt;0,SUMIF($Q$3:$Q15,$Q15,L$3:L15),"")</f>
        <v/>
      </c>
      <c r="N15" s="10"/>
      <c r="O15" s="117" t="str">
        <f>IF(SUMIF($Q$3:$Q15,$Q15,N$3:N15)&gt;0,SUMIF($Q$3:$Q15,$Q15,N$3:N15),"")</f>
        <v/>
      </c>
      <c r="P15" s="12">
        <f>IF(NOT(ISBLANK($A15)),SUM(L$3:L15)-SUM(N$3:N15),"")</f>
        <v>-1673.1399999999999</v>
      </c>
      <c r="Q15" s="4" t="s">
        <v>53</v>
      </c>
      <c r="R15" s="16" t="s">
        <v>152</v>
      </c>
      <c r="S15" s="16"/>
    </row>
    <row r="16" spans="1:19" x14ac:dyDescent="0.25">
      <c r="A16" s="7">
        <f>A15</f>
        <v>43009</v>
      </c>
      <c r="B16" s="3"/>
      <c r="C16" s="117" t="str">
        <f>IF(SUMIF($Q$3:$Q16,$Q16,B$3:B16)&gt;0,SUMIF($Q$3:$Q16,$Q16,B$3:B16),"")</f>
        <v/>
      </c>
      <c r="D16" s="10">
        <v>40.630000000000003</v>
      </c>
      <c r="E16" s="117">
        <f>IF(SUMIF($Q$3:$Q16,$Q16,D$3:D16)&gt;0,SUMIF($Q$3:$Q16,$Q16,D$3:D16),"")</f>
        <v>292.84999999999997</v>
      </c>
      <c r="F16" s="12">
        <f>IF(NOT(ISBLANK($A16)),SUM(B$3:B16)-SUM(D$3:D16),"")</f>
        <v>794.96</v>
      </c>
      <c r="G16" s="3">
        <v>40.630000000000003</v>
      </c>
      <c r="H16" s="117">
        <f>IF(SUMIF($Q$3:$Q16,$Q16,G$3:G16)&gt;0,SUMIF($Q$3:$Q16,$Q16,G$3:G16),"")</f>
        <v>292.84999999999997</v>
      </c>
      <c r="I16" s="10"/>
      <c r="J16" s="117" t="str">
        <f>IF(SUMIF($Q$3:$Q16,$Q16,I$3:I16)&gt;0,SUMIF($Q$3:$Q16,$Q16,I$3:I16),"")</f>
        <v/>
      </c>
      <c r="K16" s="12">
        <f>IF(NOT(ISBLANK($A16)),SUM(G$3:G16)-SUM(I$3:I16),"")</f>
        <v>-5.6843418860808015E-14</v>
      </c>
      <c r="L16" s="3"/>
      <c r="M16" s="117" t="str">
        <f>IF(SUMIF($Q$3:$Q16,$Q16,L$3:L16)&gt;0,SUMIF($Q$3:$Q16,$Q16,L$3:L16),"")</f>
        <v/>
      </c>
      <c r="N16" s="10"/>
      <c r="O16" s="117" t="str">
        <f>IF(SUMIF($Q$3:$Q16,$Q16,N$3:N16)&gt;0,SUMIF($Q$3:$Q16,$Q16,N$3:N16),"")</f>
        <v/>
      </c>
      <c r="P16" s="12">
        <f>IF(NOT(ISBLANK($A16)),SUM(L$3:L16)-SUM(N$3:N16),"")</f>
        <v>-1673.1399999999999</v>
      </c>
      <c r="Q16" s="4" t="s">
        <v>18</v>
      </c>
      <c r="R16" s="16" t="s">
        <v>149</v>
      </c>
      <c r="S16" s="16"/>
    </row>
    <row r="17" spans="1:19" x14ac:dyDescent="0.25">
      <c r="A17" s="8">
        <v>43010</v>
      </c>
      <c r="B17" s="5">
        <v>0.23</v>
      </c>
      <c r="C17" s="118">
        <f>IF(SUMIF($Q$3:$Q17,$Q17,B$3:B17)&gt;0,SUMIF($Q$3:$Q17,$Q17,B$3:B17),"")</f>
        <v>0.23</v>
      </c>
      <c r="D17" s="11"/>
      <c r="E17" s="118" t="str">
        <f>IF(SUMIF($Q$3:$Q17,$Q17,D$3:D17)&gt;0,SUMIF($Q$3:$Q17,$Q17,D$3:D17),"")</f>
        <v/>
      </c>
      <c r="F17" s="13">
        <f>IF(NOT(ISBLANK($A17)),SUM(B$3:B17)-SUM(D$3:D17),"")</f>
        <v>795.19</v>
      </c>
      <c r="G17" s="5"/>
      <c r="H17" s="118" t="str">
        <f>IF(SUMIF($Q$3:$Q17,$Q17,G$3:G17)&gt;0,SUMIF($Q$3:$Q17,$Q17,G$3:G17),"")</f>
        <v/>
      </c>
      <c r="I17" s="11"/>
      <c r="J17" s="118" t="str">
        <f>IF(SUMIF($Q$3:$Q17,$Q17,I$3:I17)&gt;0,SUMIF($Q$3:$Q17,$Q17,I$3:I17),"")</f>
        <v/>
      </c>
      <c r="K17" s="13">
        <f>IF(NOT(ISBLANK($A17)),SUM(G$3:G17)-SUM(I$3:I17),"")</f>
        <v>-5.6843418860808015E-14</v>
      </c>
      <c r="L17" s="5"/>
      <c r="M17" s="118" t="str">
        <f>IF(SUMIF($Q$3:$Q17,$Q17,L$3:L17)&gt;0,SUMIF($Q$3:$Q17,$Q17,L$3:L17),"")</f>
        <v/>
      </c>
      <c r="N17" s="11"/>
      <c r="O17" s="118" t="str">
        <f>IF(SUMIF($Q$3:$Q17,$Q17,N$3:N17)&gt;0,SUMIF($Q$3:$Q17,$Q17,N$3:N17),"")</f>
        <v/>
      </c>
      <c r="P17" s="13">
        <f>IF(NOT(ISBLANK($A17)),SUM(L$3:L17)-SUM(N$3:N17),"")</f>
        <v>-1673.1399999999999</v>
      </c>
      <c r="Q17" s="6" t="s">
        <v>37</v>
      </c>
      <c r="R17" s="17"/>
      <c r="S17" s="17"/>
    </row>
    <row r="18" spans="1:19" x14ac:dyDescent="0.25">
      <c r="A18" s="8">
        <v>43011</v>
      </c>
      <c r="B18" s="5">
        <v>1100</v>
      </c>
      <c r="C18" s="118">
        <f>IF(SUMIF($Q$3:$Q18,$Q18,B$3:B18)&gt;0,SUMIF($Q$3:$Q18,$Q18,B$3:B18),"")</f>
        <v>5050</v>
      </c>
      <c r="D18" s="11"/>
      <c r="E18" s="118" t="str">
        <f>IF(SUMIF($Q$3:$Q18,$Q18,D$3:D18)&gt;0,SUMIF($Q$3:$Q18,$Q18,D$3:D18),"")</f>
        <v/>
      </c>
      <c r="F18" s="13">
        <f>IF(NOT(ISBLANK($A18)),SUM(B$3:B18)-SUM(D$3:D18),"")</f>
        <v>1895.1899999999996</v>
      </c>
      <c r="G18" s="5"/>
      <c r="H18" s="118" t="str">
        <f>IF(SUMIF($Q$3:$Q18,$Q18,G$3:G18)&gt;0,SUMIF($Q$3:$Q18,$Q18,G$3:G18),"")</f>
        <v/>
      </c>
      <c r="I18" s="11"/>
      <c r="J18" s="118" t="str">
        <f>IF(SUMIF($Q$3:$Q18,$Q18,I$3:I18)&gt;0,SUMIF($Q$3:$Q18,$Q18,I$3:I18),"")</f>
        <v/>
      </c>
      <c r="K18" s="13">
        <f>IF(NOT(ISBLANK($A18)),SUM(G$3:G18)-SUM(I$3:I18),"")</f>
        <v>-5.6843418860808015E-14</v>
      </c>
      <c r="L18" s="5"/>
      <c r="M18" s="118" t="str">
        <f>IF(SUMIF($Q$3:$Q18,$Q18,L$3:L18)&gt;0,SUMIF($Q$3:$Q18,$Q18,L$3:L18),"")</f>
        <v/>
      </c>
      <c r="N18" s="11"/>
      <c r="O18" s="118" t="str">
        <f>IF(SUMIF($Q$3:$Q18,$Q18,N$3:N18)&gt;0,SUMIF($Q$3:$Q18,$Q18,N$3:N18),"")</f>
        <v/>
      </c>
      <c r="P18" s="13">
        <f>IF(NOT(ISBLANK($A18)),SUM(L$3:L18)-SUM(N$3:N18),"")</f>
        <v>-1673.1399999999999</v>
      </c>
      <c r="Q18" s="6" t="s">
        <v>9</v>
      </c>
      <c r="R18" s="17"/>
      <c r="S18" s="17"/>
    </row>
    <row r="19" spans="1:19" x14ac:dyDescent="0.25">
      <c r="A19" s="7">
        <v>43011</v>
      </c>
      <c r="B19" s="3"/>
      <c r="C19" s="117" t="str">
        <f>IF(SUMIF($Q$3:$Q19,$Q19,B$3:B19)&gt;0,SUMIF($Q$3:$Q19,$Q19,B$3:B19),"")</f>
        <v/>
      </c>
      <c r="D19" s="10">
        <v>1673.14</v>
      </c>
      <c r="E19" s="117">
        <f>IF(SUMIF($Q$3:$Q19,$Q19,D$3:D19)&gt;0,SUMIF($Q$3:$Q19,$Q19,D$3:D19),"")</f>
        <v>4535.33</v>
      </c>
      <c r="F19" s="12">
        <f>IF(NOT(ISBLANK($A19)),SUM(B$3:B19)-SUM(D$3:D19),"")</f>
        <v>222.04999999999927</v>
      </c>
      <c r="G19" s="3"/>
      <c r="H19" s="117" t="str">
        <f>IF(SUMIF($Q$3:$Q19,$Q19,G$3:G19)&gt;0,SUMIF($Q$3:$Q19,$Q19,G$3:G19),"")</f>
        <v/>
      </c>
      <c r="I19" s="10"/>
      <c r="J19" s="117" t="str">
        <f>IF(SUMIF($Q$3:$Q19,$Q19,I$3:I19)&gt;0,SUMIF($Q$3:$Q19,$Q19,I$3:I19),"")</f>
        <v/>
      </c>
      <c r="K19" s="12">
        <f>IF(NOT(ISBLANK($A19)),SUM(G$3:G19)-SUM(I$3:I19),"")</f>
        <v>-5.6843418860808015E-14</v>
      </c>
      <c r="L19" s="3">
        <v>1673.14</v>
      </c>
      <c r="M19" s="117">
        <f>IF(SUMIF($Q$3:$Q19,$Q19,L$3:L19)&gt;0,SUMIF($Q$3:$Q19,$Q19,L$3:L19),"")</f>
        <v>4535.33</v>
      </c>
      <c r="N19" s="10"/>
      <c r="O19" s="117" t="str">
        <f>IF(SUMIF($Q$3:$Q19,$Q19,N$3:N19)&gt;0,SUMIF($Q$3:$Q19,$Q19,N$3:N19),"")</f>
        <v/>
      </c>
      <c r="P19" s="12">
        <f>IF(NOT(ISBLANK($A19)),SUM(L$3:L19)-SUM(N$3:N19),"")</f>
        <v>0</v>
      </c>
      <c r="Q19" s="4" t="s">
        <v>14</v>
      </c>
      <c r="R19" s="16" t="s">
        <v>151</v>
      </c>
      <c r="S19" s="16"/>
    </row>
    <row r="20" spans="1:19" x14ac:dyDescent="0.25">
      <c r="A20" s="7">
        <v>43020</v>
      </c>
      <c r="B20" s="3"/>
      <c r="C20" s="117" t="str">
        <f>IF(SUMIF($Q$3:$Q20,$Q20,B$3:B20)&gt;0,SUMIF($Q$3:$Q20,$Q20,B$3:B20),"")</f>
        <v/>
      </c>
      <c r="D20" s="10"/>
      <c r="E20" s="117" t="str">
        <f>IF(SUMIF($Q$3:$Q20,$Q20,D$3:D20)&gt;0,SUMIF($Q$3:$Q20,$Q20,D$3:D20),"")</f>
        <v/>
      </c>
      <c r="F20" s="12">
        <f>IF(NOT(ISBLANK($A20)),SUM(B$3:B20)-SUM(D$3:D20),"")</f>
        <v>222.04999999999927</v>
      </c>
      <c r="G20" s="3"/>
      <c r="H20" s="117" t="str">
        <f>IF(SUMIF($Q$3:$Q20,$Q20,G$3:G20)&gt;0,SUMIF($Q$3:$Q20,$Q20,G$3:G20),"")</f>
        <v/>
      </c>
      <c r="I20" s="10">
        <v>22.01</v>
      </c>
      <c r="J20" s="117">
        <f>IF(SUMIF($Q$3:$Q20,$Q20,I$3:I20)&gt;0,SUMIF($Q$3:$Q20,$Q20,I$3:I20),"")</f>
        <v>294.86</v>
      </c>
      <c r="K20" s="12">
        <f>IF(NOT(ISBLANK($A20)),SUM(G$3:G20)-SUM(I$3:I20),"")</f>
        <v>-22.010000000000048</v>
      </c>
      <c r="L20" s="3"/>
      <c r="M20" s="117" t="str">
        <f>IF(SUMIF($Q$3:$Q20,$Q20,L$3:L20)&gt;0,SUMIF($Q$3:$Q20,$Q20,L$3:L20),"")</f>
        <v/>
      </c>
      <c r="N20" s="10"/>
      <c r="O20" s="117" t="str">
        <f>IF(SUMIF($Q$3:$Q20,$Q20,N$3:N20)&gt;0,SUMIF($Q$3:$Q20,$Q20,N$3:N20),"")</f>
        <v/>
      </c>
      <c r="P20" s="12">
        <f>IF(NOT(ISBLANK($A20)),SUM(L$3:L20)-SUM(N$3:N20),"")</f>
        <v>0</v>
      </c>
      <c r="Q20" s="4" t="s">
        <v>53</v>
      </c>
      <c r="R20" s="16" t="s">
        <v>153</v>
      </c>
      <c r="S20" s="16"/>
    </row>
    <row r="21" spans="1:19" x14ac:dyDescent="0.25">
      <c r="A21" s="8">
        <f ca="1">TODAY()</f>
        <v>43116</v>
      </c>
      <c r="B21" s="5"/>
      <c r="C21" s="118" t="str">
        <f>IF(SUMIF($Q$3:$Q21,$Q21,B$3:B21)&gt;0,SUMIF($Q$3:$Q21,$Q21,B$3:B21),"")</f>
        <v/>
      </c>
      <c r="D21" s="11">
        <v>22.01</v>
      </c>
      <c r="E21" s="118">
        <f>IF(SUMIF($Q$3:$Q21,$Q21,D$3:D21)&gt;0,SUMIF($Q$3:$Q21,$Q21,D$3:D21),"")</f>
        <v>314.85999999999996</v>
      </c>
      <c r="F21" s="13">
        <f ca="1">IF(NOT(ISBLANK($A21)),SUM(B$3:B21)-SUM(D$3:D21),"")</f>
        <v>200.03999999999905</v>
      </c>
      <c r="G21" s="5">
        <v>22.01</v>
      </c>
      <c r="H21" s="118">
        <f>IF(SUMIF($Q$3:$Q21,$Q21,G$3:G21)&gt;0,SUMIF($Q$3:$Q21,$Q21,G$3:G21),"")</f>
        <v>314.85999999999996</v>
      </c>
      <c r="I21" s="11"/>
      <c r="J21" s="118" t="str">
        <f>IF(SUMIF($Q$3:$Q21,$Q21,I$3:I21)&gt;0,SUMIF($Q$3:$Q21,$Q21,I$3:I21),"")</f>
        <v/>
      </c>
      <c r="K21" s="13">
        <f ca="1">IF(NOT(ISBLANK($A21)),SUM(G$3:G21)-SUM(I$3:I21),"")</f>
        <v>-5.6843418860808015E-14</v>
      </c>
      <c r="L21" s="5"/>
      <c r="M21" s="118" t="str">
        <f>IF(SUMIF($Q$3:$Q21,$Q21,L$3:L21)&gt;0,SUMIF($Q$3:$Q21,$Q21,L$3:L21),"")</f>
        <v/>
      </c>
      <c r="N21" s="11"/>
      <c r="O21" s="118" t="str">
        <f>IF(SUMIF($Q$3:$Q21,$Q21,N$3:N21)&gt;0,SUMIF($Q$3:$Q21,$Q21,N$3:N21),"")</f>
        <v/>
      </c>
      <c r="P21" s="13">
        <f ca="1">IF(NOT(ISBLANK($A21)),SUM(L$3:L21)-SUM(N$3:N21),"")</f>
        <v>0</v>
      </c>
      <c r="Q21" s="6" t="s">
        <v>18</v>
      </c>
      <c r="R21" s="17"/>
      <c r="S21" s="17"/>
    </row>
    <row r="22" spans="1:19" x14ac:dyDescent="0.25">
      <c r="A22" s="8">
        <v>43026</v>
      </c>
      <c r="B22" s="5">
        <v>1100</v>
      </c>
      <c r="C22" s="118">
        <f>IF(SUMIF($Q$3:$Q22,$Q22,B$3:B22)&gt;0,SUMIF($Q$3:$Q22,$Q22,B$3:B22),"")</f>
        <v>6150</v>
      </c>
      <c r="D22" s="11"/>
      <c r="E22" s="118" t="str">
        <f>IF(SUMIF($Q$3:$Q22,$Q22,D$3:D22)&gt;0,SUMIF($Q$3:$Q22,$Q22,D$3:D22),"")</f>
        <v/>
      </c>
      <c r="F22" s="13">
        <f>IF(NOT(ISBLANK($A22)),SUM(B$3:B22)-SUM(D$3:D22),"")</f>
        <v>1300.0399999999991</v>
      </c>
      <c r="G22" s="5"/>
      <c r="H22" s="118" t="str">
        <f>IF(SUMIF($Q$3:$Q22,$Q22,G$3:G22)&gt;0,SUMIF($Q$3:$Q22,$Q22,G$3:G22),"")</f>
        <v/>
      </c>
      <c r="I22" s="11"/>
      <c r="J22" s="118" t="str">
        <f>IF(SUMIF($Q$3:$Q22,$Q22,I$3:I22)&gt;0,SUMIF($Q$3:$Q22,$Q22,I$3:I22),"")</f>
        <v/>
      </c>
      <c r="K22" s="13">
        <f>IF(NOT(ISBLANK($A22)),SUM(G$3:G22)-SUM(I$3:I22),"")</f>
        <v>-5.6843418860808015E-14</v>
      </c>
      <c r="L22" s="5"/>
      <c r="M22" s="118" t="str">
        <f>IF(SUMIF($Q$3:$Q22,$Q22,L$3:L22)&gt;0,SUMIF($Q$3:$Q22,$Q22,L$3:L22),"")</f>
        <v/>
      </c>
      <c r="N22" s="11"/>
      <c r="O22" s="118" t="str">
        <f>IF(SUMIF($Q$3:$Q22,$Q22,N$3:N22)&gt;0,SUMIF($Q$3:$Q22,$Q22,N$3:N22),"")</f>
        <v/>
      </c>
      <c r="P22" s="13">
        <f>IF(NOT(ISBLANK($A22)),SUM(L$3:L22)-SUM(N$3:N22),"")</f>
        <v>0</v>
      </c>
      <c r="Q22" s="6" t="s">
        <v>9</v>
      </c>
      <c r="R22" s="17"/>
      <c r="S22" s="17"/>
    </row>
    <row r="23" spans="1:19" x14ac:dyDescent="0.25">
      <c r="A23" s="7">
        <v>43040</v>
      </c>
      <c r="B23" s="3"/>
      <c r="C23" s="117" t="str">
        <f>IF(SUMIF($Q$3:$Q23,$Q23,B$3:B23)&gt;0,SUMIF($Q$3:$Q23,$Q23,B$3:B23),"")</f>
        <v/>
      </c>
      <c r="D23" s="10"/>
      <c r="E23" s="117" t="str">
        <f>IF(SUMIF($Q$3:$Q23,$Q23,D$3:D23)&gt;0,SUMIF($Q$3:$Q23,$Q23,D$3:D23),"")</f>
        <v/>
      </c>
      <c r="F23" s="12">
        <f>IF(NOT(ISBLANK($A23)),SUM(B$3:B23)-SUM(D$3:D23),"")</f>
        <v>1300.0399999999991</v>
      </c>
      <c r="G23" s="3"/>
      <c r="H23" s="117" t="str">
        <f>IF(SUMIF($Q$3:$Q23,$Q23,G$3:G23)&gt;0,SUMIF($Q$3:$Q23,$Q23,G$3:G23),"")</f>
        <v/>
      </c>
      <c r="I23" s="10"/>
      <c r="J23" s="117" t="str">
        <f>IF(SUMIF($Q$3:$Q23,$Q23,I$3:I23)&gt;0,SUMIF($Q$3:$Q23,$Q23,I$3:I23),"")</f>
        <v/>
      </c>
      <c r="K23" s="12">
        <f>IF(NOT(ISBLANK($A23)),SUM(G$3:G23)-SUM(I$3:I23),"")</f>
        <v>-5.6843418860808015E-14</v>
      </c>
      <c r="L23" s="3"/>
      <c r="M23" s="117" t="str">
        <f>IF(SUMIF($Q$3:$Q23,$Q23,L$3:L23)&gt;0,SUMIF($Q$3:$Q23,$Q23,L$3:L23),"")</f>
        <v/>
      </c>
      <c r="N23" s="10">
        <v>1673.14</v>
      </c>
      <c r="O23" s="117">
        <f>IF(SUMIF($Q$3:$Q23,$Q23,N$3:N23)&gt;0,SUMIF($Q$3:$Q23,$Q23,N$3:N23),"")</f>
        <v>6208.47</v>
      </c>
      <c r="P23" s="12">
        <f>IF(NOT(ISBLANK($A23)),SUM(L$3:L23)-SUM(N$3:N23),"")</f>
        <v>-1673.1400000000003</v>
      </c>
      <c r="Q23" s="4" t="s">
        <v>49</v>
      </c>
      <c r="R23" s="16"/>
      <c r="S23" s="16"/>
    </row>
    <row r="24" spans="1:19" x14ac:dyDescent="0.25">
      <c r="A24" s="7">
        <v>43040</v>
      </c>
      <c r="B24" s="3">
        <v>0.47</v>
      </c>
      <c r="C24" s="117">
        <f>IF(SUMIF($Q$3:$Q24,$Q24,B$3:B24)&gt;0,SUMIF($Q$3:$Q24,$Q24,B$3:B24),"")</f>
        <v>0.7</v>
      </c>
      <c r="D24" s="10"/>
      <c r="E24" s="117" t="str">
        <f>IF(SUMIF($Q$3:$Q24,$Q24,D$3:D24)&gt;0,SUMIF($Q$3:$Q24,$Q24,D$3:D24),"")</f>
        <v/>
      </c>
      <c r="F24" s="12">
        <f>IF(NOT(ISBLANK($A24)),SUM(B$3:B24)-SUM(D$3:D24),"")</f>
        <v>1300.5099999999993</v>
      </c>
      <c r="G24" s="3"/>
      <c r="H24" s="117" t="str">
        <f>IF(SUMIF($Q$3:$Q24,$Q24,G$3:G24)&gt;0,SUMIF($Q$3:$Q24,$Q24,G$3:G24),"")</f>
        <v/>
      </c>
      <c r="I24" s="10"/>
      <c r="J24" s="117" t="str">
        <f>IF(SUMIF($Q$3:$Q24,$Q24,I$3:I24)&gt;0,SUMIF($Q$3:$Q24,$Q24,I$3:I24),"")</f>
        <v/>
      </c>
      <c r="K24" s="12">
        <f>IF(NOT(ISBLANK($A24)),SUM(G$3:G24)-SUM(I$3:I24),"")</f>
        <v>-5.6843418860808015E-14</v>
      </c>
      <c r="L24" s="3"/>
      <c r="M24" s="117" t="str">
        <f>IF(SUMIF($Q$3:$Q24,$Q24,L$3:L24)&gt;0,SUMIF($Q$3:$Q24,$Q24,L$3:L24),"")</f>
        <v/>
      </c>
      <c r="N24" s="10"/>
      <c r="O24" s="117" t="str">
        <f>IF(SUMIF($Q$3:$Q24,$Q24,N$3:N24)&gt;0,SUMIF($Q$3:$Q24,$Q24,N$3:N24),"")</f>
        <v/>
      </c>
      <c r="P24" s="12">
        <f>IF(NOT(ISBLANK($A24)),SUM(L$3:L24)-SUM(N$3:N24),"")</f>
        <v>-1673.1400000000003</v>
      </c>
      <c r="Q24" s="4" t="s">
        <v>37</v>
      </c>
      <c r="R24" s="16"/>
      <c r="S24" s="16"/>
    </row>
    <row r="25" spans="1:19" x14ac:dyDescent="0.25">
      <c r="A25" s="8">
        <v>43041</v>
      </c>
      <c r="B25" s="5">
        <v>975</v>
      </c>
      <c r="C25" s="118">
        <f>IF(SUMIF($Q$3:$Q25,$Q25,B$3:B25)&gt;0,SUMIF($Q$3:$Q25,$Q25,B$3:B25),"")</f>
        <v>7125</v>
      </c>
      <c r="D25" s="11"/>
      <c r="E25" s="118" t="str">
        <f>IF(SUMIF($Q$3:$Q25,$Q25,D$3:D25)&gt;0,SUMIF($Q$3:$Q25,$Q25,D$3:D25),"")</f>
        <v/>
      </c>
      <c r="F25" s="13">
        <f>IF(NOT(ISBLANK($A25)),SUM(B$3:B25)-SUM(D$3:D25),"")</f>
        <v>2275.5099999999993</v>
      </c>
      <c r="G25" s="5"/>
      <c r="H25" s="118" t="str">
        <f>IF(SUMIF($Q$3:$Q25,$Q25,G$3:G25)&gt;0,SUMIF($Q$3:$Q25,$Q25,G$3:G25),"")</f>
        <v/>
      </c>
      <c r="I25" s="11"/>
      <c r="J25" s="118" t="str">
        <f>IF(SUMIF($Q$3:$Q25,$Q25,I$3:I25)&gt;0,SUMIF($Q$3:$Q25,$Q25,I$3:I25),"")</f>
        <v/>
      </c>
      <c r="K25" s="13">
        <f>IF(NOT(ISBLANK($A25)),SUM(G$3:G25)-SUM(I$3:I25),"")</f>
        <v>-5.6843418860808015E-14</v>
      </c>
      <c r="L25" s="5"/>
      <c r="M25" s="118" t="str">
        <f>IF(SUMIF($Q$3:$Q25,$Q25,L$3:L25)&gt;0,SUMIF($Q$3:$Q25,$Q25,L$3:L25),"")</f>
        <v/>
      </c>
      <c r="N25" s="11"/>
      <c r="O25" s="118" t="str">
        <f>IF(SUMIF($Q$3:$Q25,$Q25,N$3:N25)&gt;0,SUMIF($Q$3:$Q25,$Q25,N$3:N25),"")</f>
        <v/>
      </c>
      <c r="P25" s="13">
        <f>IF(NOT(ISBLANK($A25)),SUM(L$3:L25)-SUM(N$3:N25),"")</f>
        <v>-1673.1400000000003</v>
      </c>
      <c r="Q25" s="6" t="s">
        <v>9</v>
      </c>
      <c r="R25" s="17"/>
      <c r="S25" s="17"/>
    </row>
    <row r="26" spans="1:19" x14ac:dyDescent="0.25">
      <c r="A26" s="8">
        <v>43044</v>
      </c>
      <c r="B26" s="5"/>
      <c r="C26" s="118" t="str">
        <f>IF(SUMIF($Q$3:$Q26,$Q26,B$3:B26)&gt;0,SUMIF($Q$3:$Q26,$Q26,B$3:B26),"")</f>
        <v/>
      </c>
      <c r="D26" s="11">
        <v>1673.14</v>
      </c>
      <c r="E26" s="118">
        <f>IF(SUMIF($Q$3:$Q26,$Q26,D$3:D26)&gt;0,SUMIF($Q$3:$Q26,$Q26,D$3:D26),"")</f>
        <v>1988</v>
      </c>
      <c r="F26" s="13">
        <f>IF(NOT(ISBLANK($A26)),SUM(B$3:B26)-SUM(D$3:D26),"")</f>
        <v>602.36999999999898</v>
      </c>
      <c r="G26" s="5"/>
      <c r="H26" s="118">
        <f>IF(SUMIF($Q$3:$Q26,$Q26,G$3:G26)&gt;0,SUMIF($Q$3:$Q26,$Q26,G$3:G26),"")</f>
        <v>314.85999999999996</v>
      </c>
      <c r="I26" s="11"/>
      <c r="J26" s="118" t="str">
        <f>IF(SUMIF($Q$3:$Q26,$Q26,I$3:I26)&gt;0,SUMIF($Q$3:$Q26,$Q26,I$3:I26),"")</f>
        <v/>
      </c>
      <c r="K26" s="13">
        <f>IF(NOT(ISBLANK($A26)),SUM(G$3:G26)-SUM(I$3:I26),"")</f>
        <v>-5.6843418860808015E-14</v>
      </c>
      <c r="L26" s="5">
        <v>1673.14</v>
      </c>
      <c r="M26" s="118">
        <f>IF(SUMIF($Q$3:$Q26,$Q26,L$3:L26)&gt;0,SUMIF($Q$3:$Q26,$Q26,L$3:L26),"")</f>
        <v>1673.14</v>
      </c>
      <c r="N26" s="11"/>
      <c r="O26" s="118" t="str">
        <f>IF(SUMIF($Q$3:$Q26,$Q26,N$3:N26)&gt;0,SUMIF($Q$3:$Q26,$Q26,N$3:N26),"")</f>
        <v/>
      </c>
      <c r="P26" s="13">
        <f>IF(NOT(ISBLANK($A26)),SUM(L$3:L26)-SUM(N$3:N26),"")</f>
        <v>0</v>
      </c>
      <c r="Q26" s="6" t="s">
        <v>18</v>
      </c>
      <c r="R26" s="17"/>
      <c r="S26" s="17"/>
    </row>
    <row r="27" spans="1:19" x14ac:dyDescent="0.25">
      <c r="A27" s="7">
        <v>43045</v>
      </c>
      <c r="B27" s="3"/>
      <c r="C27" s="117" t="str">
        <f>IF(SUMIF($Q$3:$Q27,$Q27,B$3:B27)&gt;0,SUMIF($Q$3:$Q27,$Q27,B$3:B27),"")</f>
        <v/>
      </c>
      <c r="D27" s="10"/>
      <c r="E27" s="117" t="str">
        <f>IF(SUMIF($Q$3:$Q27,$Q27,D$3:D27)&gt;0,SUMIF($Q$3:$Q27,$Q27,D$3:D27),"")</f>
        <v/>
      </c>
      <c r="F27" s="12">
        <f>IF(NOT(ISBLANK($A27)),SUM(B$3:B27)-SUM(D$3:D27),"")</f>
        <v>602.36999999999898</v>
      </c>
      <c r="G27" s="3"/>
      <c r="H27" s="117" t="str">
        <f>IF(SUMIF($Q$3:$Q27,$Q27,G$3:G27)&gt;0,SUMIF($Q$3:$Q27,$Q27,G$3:G27),"")</f>
        <v/>
      </c>
      <c r="I27" s="10">
        <v>214.68</v>
      </c>
      <c r="J27" s="117">
        <f>IF(SUMIF($Q$3:$Q27,$Q27,I$3:I27)&gt;0,SUMIF($Q$3:$Q27,$Q27,I$3:I27),"")</f>
        <v>509.54</v>
      </c>
      <c r="K27" s="12">
        <f>IF(NOT(ISBLANK($A27)),SUM(G$3:G27)-SUM(I$3:I27),"")</f>
        <v>-214.68</v>
      </c>
      <c r="L27" s="3"/>
      <c r="M27" s="117" t="str">
        <f>IF(SUMIF($Q$3:$Q27,$Q27,L$3:L27)&gt;0,SUMIF($Q$3:$Q27,$Q27,L$3:L27),"")</f>
        <v/>
      </c>
      <c r="N27" s="10"/>
      <c r="O27" s="117" t="str">
        <f>IF(SUMIF($Q$3:$Q27,$Q27,N$3:N27)&gt;0,SUMIF($Q$3:$Q27,$Q27,N$3:N27),"")</f>
        <v/>
      </c>
      <c r="P27" s="12">
        <f>IF(NOT(ISBLANK($A27)),SUM(L$3:L27)-SUM(N$3:N27),"")</f>
        <v>0</v>
      </c>
      <c r="Q27" s="4" t="s">
        <v>53</v>
      </c>
      <c r="R27" s="16" t="s">
        <v>165</v>
      </c>
      <c r="S27" s="16"/>
    </row>
    <row r="28" spans="1:19" x14ac:dyDescent="0.25">
      <c r="A28" s="7">
        <v>43045</v>
      </c>
      <c r="B28" s="3"/>
      <c r="C28" s="117" t="str">
        <f>IF(SUMIF($Q$3:$Q28,$Q28,B$3:B28)&gt;0,SUMIF($Q$3:$Q28,$Q28,B$3:B28),"")</f>
        <v/>
      </c>
      <c r="D28" s="10">
        <v>1</v>
      </c>
      <c r="E28" s="117">
        <f>IF(SUMIF($Q$3:$Q28,$Q28,D$3:D28)&gt;0,SUMIF($Q$3:$Q28,$Q28,D$3:D28),"")</f>
        <v>1</v>
      </c>
      <c r="F28" s="12">
        <f>IF(NOT(ISBLANK($A28)),SUM(B$3:B28)-SUM(D$3:D28),"")</f>
        <v>601.36999999999898</v>
      </c>
      <c r="G28" s="3"/>
      <c r="H28" s="117" t="str">
        <f>IF(SUMIF($Q$3:$Q28,$Q28,G$3:G28)&gt;0,SUMIF($Q$3:$Q28,$Q28,G$3:G28),"")</f>
        <v/>
      </c>
      <c r="I28" s="10"/>
      <c r="J28" s="117" t="str">
        <f>IF(SUMIF($Q$3:$Q28,$Q28,I$3:I28)&gt;0,SUMIF($Q$3:$Q28,$Q28,I$3:I28),"")</f>
        <v/>
      </c>
      <c r="K28" s="12">
        <f>IF(NOT(ISBLANK($A28)),SUM(G$3:G28)-SUM(I$3:I28),"")</f>
        <v>-214.68</v>
      </c>
      <c r="L28" s="3"/>
      <c r="M28" s="117" t="str">
        <f>IF(SUMIF($Q$3:$Q28,$Q28,L$3:L28)&gt;0,SUMIF($Q$3:$Q28,$Q28,L$3:L28),"")</f>
        <v/>
      </c>
      <c r="N28" s="10"/>
      <c r="O28" s="117" t="str">
        <f>IF(SUMIF($Q$3:$Q28,$Q28,N$3:N28)&gt;0,SUMIF($Q$3:$Q28,$Q28,N$3:N28),"")</f>
        <v/>
      </c>
      <c r="P28" s="12">
        <f>IF(NOT(ISBLANK($A28)),SUM(L$3:L28)-SUM(N$3:N28),"")</f>
        <v>0</v>
      </c>
      <c r="Q28" s="4" t="s">
        <v>166</v>
      </c>
      <c r="R28" s="16" t="s">
        <v>167</v>
      </c>
      <c r="S28" s="16"/>
    </row>
    <row r="29" spans="1:19" x14ac:dyDescent="0.25">
      <c r="A29" s="8">
        <v>43045</v>
      </c>
      <c r="B29" s="5"/>
      <c r="C29" s="118" t="str">
        <f>IF(SUMIF($Q$3:$Q29,$Q29,B$3:B29)&gt;0,SUMIF($Q$3:$Q29,$Q29,B$3:B29),"")</f>
        <v/>
      </c>
      <c r="D29" s="11">
        <v>5</v>
      </c>
      <c r="E29" s="118">
        <f>IF(SUMIF($Q$3:$Q29,$Q29,D$3:D29)&gt;0,SUMIF($Q$3:$Q29,$Q29,D$3:D29),"")</f>
        <v>6</v>
      </c>
      <c r="F29" s="13">
        <f>IF(NOT(ISBLANK($A29)),SUM(B$3:B29)-SUM(D$3:D29),"")</f>
        <v>596.36999999999898</v>
      </c>
      <c r="G29" s="5"/>
      <c r="H29" s="118" t="str">
        <f>IF(SUMIF($Q$3:$Q29,$Q29,G$3:G29)&gt;0,SUMIF($Q$3:$Q29,$Q29,G$3:G29),"")</f>
        <v/>
      </c>
      <c r="I29" s="11"/>
      <c r="J29" s="118" t="str">
        <f>IF(SUMIF($Q$3:$Q29,$Q29,I$3:I29)&gt;0,SUMIF($Q$3:$Q29,$Q29,I$3:I29),"")</f>
        <v/>
      </c>
      <c r="K29" s="13">
        <f>IF(NOT(ISBLANK($A29)),SUM(G$3:G29)-SUM(I$3:I29),"")</f>
        <v>-214.68</v>
      </c>
      <c r="L29" s="5"/>
      <c r="M29" s="118" t="str">
        <f>IF(SUMIF($Q$3:$Q29,$Q29,L$3:L29)&gt;0,SUMIF($Q$3:$Q29,$Q29,L$3:L29),"")</f>
        <v/>
      </c>
      <c r="N29" s="11"/>
      <c r="O29" s="118" t="str">
        <f>IF(SUMIF($Q$3:$Q29,$Q29,N$3:N29)&gt;0,SUMIF($Q$3:$Q29,$Q29,N$3:N29),"")</f>
        <v/>
      </c>
      <c r="P29" s="13">
        <f>IF(NOT(ISBLANK($A29)),SUM(L$3:L29)-SUM(N$3:N29),"")</f>
        <v>0</v>
      </c>
      <c r="Q29" s="6" t="s">
        <v>166</v>
      </c>
      <c r="R29" s="17" t="s">
        <v>168</v>
      </c>
      <c r="S29" s="17"/>
    </row>
    <row r="30" spans="1:19" x14ac:dyDescent="0.25">
      <c r="A30" s="8">
        <v>43049</v>
      </c>
      <c r="B30" s="5"/>
      <c r="C30" s="118" t="str">
        <f>IF(SUMIF($Q$3:$Q30,$Q30,B$3:B30)&gt;0,SUMIF($Q$3:$Q30,$Q30,B$3:B30),"")</f>
        <v/>
      </c>
      <c r="D30" s="11">
        <v>214.68</v>
      </c>
      <c r="E30" s="118">
        <f>IF(SUMIF($Q$3:$Q30,$Q30,D$3:D30)&gt;0,SUMIF($Q$3:$Q30,$Q30,D$3:D30),"")</f>
        <v>2202.6799999999998</v>
      </c>
      <c r="F30" s="13">
        <f>IF(NOT(ISBLANK($A30)),SUM(B$3:B30)-SUM(D$3:D30),"")</f>
        <v>381.68999999999869</v>
      </c>
      <c r="G30" s="5">
        <v>214.68</v>
      </c>
      <c r="H30" s="118">
        <f>IF(SUMIF($Q$3:$Q30,$Q30,G$3:G30)&gt;0,SUMIF($Q$3:$Q30,$Q30,G$3:G30),"")</f>
        <v>529.54</v>
      </c>
      <c r="I30" s="11"/>
      <c r="J30" s="118" t="str">
        <f>IF(SUMIF($Q$3:$Q30,$Q30,I$3:I30)&gt;0,SUMIF($Q$3:$Q30,$Q30,I$3:I30),"")</f>
        <v/>
      </c>
      <c r="K30" s="13">
        <f>IF(NOT(ISBLANK($A30)),SUM(G$3:G30)-SUM(I$3:I30),"")</f>
        <v>0</v>
      </c>
      <c r="L30" s="5"/>
      <c r="M30" s="118">
        <f>IF(SUMIF($Q$3:$Q30,$Q30,L$3:L30)&gt;0,SUMIF($Q$3:$Q30,$Q30,L$3:L30),"")</f>
        <v>1673.14</v>
      </c>
      <c r="N30" s="11"/>
      <c r="O30" s="118" t="str">
        <f>IF(SUMIF($Q$3:$Q30,$Q30,N$3:N30)&gt;0,SUMIF($Q$3:$Q30,$Q30,N$3:N30),"")</f>
        <v/>
      </c>
      <c r="P30" s="13">
        <f>IF(NOT(ISBLANK($A30)),SUM(L$3:L30)-SUM(N$3:N30),"")</f>
        <v>0</v>
      </c>
      <c r="Q30" s="6" t="s">
        <v>18</v>
      </c>
      <c r="R30" s="17"/>
      <c r="S30" s="17"/>
    </row>
    <row r="31" spans="1:19" x14ac:dyDescent="0.25">
      <c r="A31" s="7">
        <v>43056</v>
      </c>
      <c r="B31" s="3">
        <v>975</v>
      </c>
      <c r="C31" s="117">
        <f>IF(SUMIF($Q$3:$Q31,$Q31,B$3:B31)&gt;0,SUMIF($Q$3:$Q31,$Q31,B$3:B31),"")</f>
        <v>8100</v>
      </c>
      <c r="D31" s="10"/>
      <c r="E31" s="117" t="str">
        <f>IF(SUMIF($Q$3:$Q31,$Q31,D$3:D31)&gt;0,SUMIF($Q$3:$Q31,$Q31,D$3:D31),"")</f>
        <v/>
      </c>
      <c r="F31" s="12">
        <f>IF(NOT(ISBLANK($A31)),SUM(B$3:B31)-SUM(D$3:D31),"")</f>
        <v>1356.6899999999987</v>
      </c>
      <c r="G31" s="3"/>
      <c r="H31" s="117" t="str">
        <f>IF(SUMIF($Q$3:$Q31,$Q31,G$3:G31)&gt;0,SUMIF($Q$3:$Q31,$Q31,G$3:G31),"")</f>
        <v/>
      </c>
      <c r="I31" s="10"/>
      <c r="J31" s="117" t="str">
        <f>IF(SUMIF($Q$3:$Q31,$Q31,I$3:I31)&gt;0,SUMIF($Q$3:$Q31,$Q31,I$3:I31),"")</f>
        <v/>
      </c>
      <c r="K31" s="12">
        <f>IF(NOT(ISBLANK($A31)),SUM(G$3:G31)-SUM(I$3:I31),"")</f>
        <v>0</v>
      </c>
      <c r="L31" s="3"/>
      <c r="M31" s="117" t="str">
        <f>IF(SUMIF($Q$3:$Q31,$Q31,L$3:L31)&gt;0,SUMIF($Q$3:$Q31,$Q31,L$3:L31),"")</f>
        <v/>
      </c>
      <c r="N31" s="10"/>
      <c r="O31" s="117" t="str">
        <f>IF(SUMIF($Q$3:$Q31,$Q31,N$3:N31)&gt;0,SUMIF($Q$3:$Q31,$Q31,N$3:N31),"")</f>
        <v/>
      </c>
      <c r="P31" s="12">
        <f>IF(NOT(ISBLANK($A31)),SUM(L$3:L31)-SUM(N$3:N31),"")</f>
        <v>0</v>
      </c>
      <c r="Q31" s="4" t="s">
        <v>9</v>
      </c>
      <c r="R31" s="16"/>
      <c r="S31" s="16"/>
    </row>
    <row r="32" spans="1:19" x14ac:dyDescent="0.25">
      <c r="A32" s="7">
        <v>43057</v>
      </c>
      <c r="B32" s="3"/>
      <c r="C32" s="117" t="str">
        <f>IF(SUMIF($Q$3:$Q32,$Q32,B$3:B32)&gt;0,SUMIF($Q$3:$Q32,$Q32,B$3:B32),"")</f>
        <v/>
      </c>
      <c r="D32" s="10"/>
      <c r="E32" s="117" t="str">
        <f>IF(SUMIF($Q$3:$Q32,$Q32,D$3:D32)&gt;0,SUMIF($Q$3:$Q32,$Q32,D$3:D32),"")</f>
        <v/>
      </c>
      <c r="F32" s="12">
        <f>IF(NOT(ISBLANK($A32)),SUM(B$3:B32)-SUM(D$3:D32),"")</f>
        <v>1356.6899999999987</v>
      </c>
      <c r="G32" s="3"/>
      <c r="H32" s="117" t="str">
        <f>IF(SUMIF($Q$3:$Q32,$Q32,G$3:G32)&gt;0,SUMIF($Q$3:$Q32,$Q32,G$3:G32),"")</f>
        <v/>
      </c>
      <c r="I32" s="10">
        <v>147.47999999999999</v>
      </c>
      <c r="J32" s="117">
        <f>IF(SUMIF($Q$3:$Q32,$Q32,I$3:I32)&gt;0,SUMIF($Q$3:$Q32,$Q32,I$3:I32),"")</f>
        <v>167.48</v>
      </c>
      <c r="K32" s="12">
        <f>IF(NOT(ISBLANK($A32)),SUM(G$3:G32)-SUM(I$3:I32),"")</f>
        <v>-147.48000000000002</v>
      </c>
      <c r="L32" s="3"/>
      <c r="M32" s="117" t="str">
        <f>IF(SUMIF($Q$3:$Q32,$Q32,L$3:L32)&gt;0,SUMIF($Q$3:$Q32,$Q32,L$3:L32),"")</f>
        <v/>
      </c>
      <c r="N32" s="10"/>
      <c r="O32" s="117" t="str">
        <f>IF(SUMIF($Q$3:$Q32,$Q32,N$3:N32)&gt;0,SUMIF($Q$3:$Q32,$Q32,N$3:N32),"")</f>
        <v/>
      </c>
      <c r="P32" s="12">
        <f>IF(NOT(ISBLANK($A32)),SUM(L$3:L32)-SUM(N$3:N32),"")</f>
        <v>0</v>
      </c>
      <c r="Q32" s="4" t="s">
        <v>51</v>
      </c>
      <c r="R32" s="16" t="s">
        <v>177</v>
      </c>
      <c r="S32" s="16"/>
    </row>
    <row r="33" spans="1:19" x14ac:dyDescent="0.25">
      <c r="A33" s="8">
        <v>43057</v>
      </c>
      <c r="B33" s="5"/>
      <c r="C33" s="118" t="str">
        <f>IF(SUMIF($Q$3:$Q33,$Q33,B$3:B33)&gt;0,SUMIF($Q$3:$Q33,$Q33,B$3:B33),"")</f>
        <v/>
      </c>
      <c r="D33" s="11"/>
      <c r="E33" s="118" t="str">
        <f>IF(SUMIF($Q$3:$Q33,$Q33,D$3:D33)&gt;0,SUMIF($Q$3:$Q33,$Q33,D$3:D33),"")</f>
        <v/>
      </c>
      <c r="F33" s="13">
        <f>IF(NOT(ISBLANK($A33)),SUM(B$3:B33)-SUM(D$3:D33),"")</f>
        <v>1356.6899999999987</v>
      </c>
      <c r="G33" s="5"/>
      <c r="H33" s="118" t="str">
        <f>IF(SUMIF($Q$3:$Q33,$Q33,G$3:G33)&gt;0,SUMIF($Q$3:$Q33,$Q33,G$3:G33),"")</f>
        <v/>
      </c>
      <c r="I33" s="11">
        <v>9.0299999999999994</v>
      </c>
      <c r="J33" s="118">
        <f>IF(SUMIF($Q$3:$Q33,$Q33,I$3:I33)&gt;0,SUMIF($Q$3:$Q33,$Q33,I$3:I33),"")</f>
        <v>518.57000000000005</v>
      </c>
      <c r="K33" s="13">
        <f>IF(NOT(ISBLANK($A33)),SUM(G$3:G33)-SUM(I$3:I33),"")</f>
        <v>-156.51</v>
      </c>
      <c r="L33" s="5"/>
      <c r="M33" s="118" t="str">
        <f>IF(SUMIF($Q$3:$Q33,$Q33,L$3:L33)&gt;0,SUMIF($Q$3:$Q33,$Q33,L$3:L33),"")</f>
        <v/>
      </c>
      <c r="N33" s="11"/>
      <c r="O33" s="118" t="str">
        <f>IF(SUMIF($Q$3:$Q33,$Q33,N$3:N33)&gt;0,SUMIF($Q$3:$Q33,$Q33,N$3:N33),"")</f>
        <v/>
      </c>
      <c r="P33" s="13">
        <f>IF(NOT(ISBLANK($A33)),SUM(L$3:L33)-SUM(N$3:N33),"")</f>
        <v>0</v>
      </c>
      <c r="Q33" s="6" t="s">
        <v>53</v>
      </c>
      <c r="R33" s="17" t="s">
        <v>178</v>
      </c>
      <c r="S33" s="17"/>
    </row>
    <row r="34" spans="1:19" x14ac:dyDescent="0.25">
      <c r="A34" s="8">
        <v>43059</v>
      </c>
      <c r="B34" s="5"/>
      <c r="C34" s="118" t="str">
        <f>IF(SUMIF($Q$3:$Q34,$Q34,B$3:B34)&gt;0,SUMIF($Q$3:$Q34,$Q34,B$3:B34),"")</f>
        <v/>
      </c>
      <c r="D34" s="11">
        <v>156.51</v>
      </c>
      <c r="E34" s="118">
        <f>IF(SUMIF($Q$3:$Q34,$Q34,D$3:D34)&gt;0,SUMIF($Q$3:$Q34,$Q34,D$3:D34),"")</f>
        <v>2359.1899999999996</v>
      </c>
      <c r="F34" s="13">
        <f>IF(NOT(ISBLANK($A34)),SUM(B$3:B34)-SUM(D$3:D34),"")</f>
        <v>1200.1799999999985</v>
      </c>
      <c r="G34" s="5">
        <v>156.51</v>
      </c>
      <c r="H34" s="118">
        <f>IF(SUMIF($Q$3:$Q34,$Q34,G$3:G34)&gt;0,SUMIF($Q$3:$Q34,$Q34,G$3:G34),"")</f>
        <v>686.05</v>
      </c>
      <c r="I34" s="11"/>
      <c r="J34" s="118" t="str">
        <f>IF(SUMIF($Q$3:$Q34,$Q34,I$3:I34)&gt;0,SUMIF($Q$3:$Q34,$Q34,I$3:I34),"")</f>
        <v/>
      </c>
      <c r="K34" s="13">
        <f>IF(NOT(ISBLANK($A34)),SUM(G$3:G34)-SUM(I$3:I34),"")</f>
        <v>0</v>
      </c>
      <c r="L34" s="5"/>
      <c r="M34" s="118">
        <f>IF(SUMIF($Q$3:$Q34,$Q34,L$3:L34)&gt;0,SUMIF($Q$3:$Q34,$Q34,L$3:L34),"")</f>
        <v>1673.14</v>
      </c>
      <c r="N34" s="11"/>
      <c r="O34" s="118" t="str">
        <f>IF(SUMIF($Q$3:$Q34,$Q34,N$3:N34)&gt;0,SUMIF($Q$3:$Q34,$Q34,N$3:N34),"")</f>
        <v/>
      </c>
      <c r="P34" s="13">
        <f>IF(NOT(ISBLANK($A34)),SUM(L$3:L34)-SUM(N$3:N34),"")</f>
        <v>0</v>
      </c>
      <c r="Q34" s="6" t="s">
        <v>18</v>
      </c>
      <c r="R34" s="17"/>
      <c r="S34" s="17"/>
    </row>
    <row r="35" spans="1:19" x14ac:dyDescent="0.25">
      <c r="A35" s="7">
        <v>43059</v>
      </c>
      <c r="B35" s="3"/>
      <c r="C35" s="117" t="str">
        <f>IF(SUMIF($Q$3:$Q35,$Q35,B$3:B35)&gt;0,SUMIF($Q$3:$Q35,$Q35,B$3:B35),"")</f>
        <v/>
      </c>
      <c r="D35" s="10"/>
      <c r="E35" s="117" t="str">
        <f>IF(SUMIF($Q$3:$Q35,$Q35,D$3:D35)&gt;0,SUMIF($Q$3:$Q35,$Q35,D$3:D35),"")</f>
        <v/>
      </c>
      <c r="F35" s="12">
        <f>IF(NOT(ISBLANK($A35)),SUM(B$3:B35)-SUM(D$3:D35),"")</f>
        <v>1200.1799999999985</v>
      </c>
      <c r="G35" s="3"/>
      <c r="H35" s="117" t="str">
        <f>IF(SUMIF($Q$3:$Q35,$Q35,G$3:G35)&gt;0,SUMIF($Q$3:$Q35,$Q35,G$3:G35),"")</f>
        <v/>
      </c>
      <c r="I35" s="10"/>
      <c r="J35" s="117" t="str">
        <f>IF(SUMIF($Q$3:$Q35,$Q35,I$3:I35)&gt;0,SUMIF($Q$3:$Q35,$Q35,I$3:I35),"")</f>
        <v/>
      </c>
      <c r="K35" s="12">
        <f>IF(NOT(ISBLANK($A35)),SUM(G$3:G35)-SUM(I$3:I35),"")</f>
        <v>0</v>
      </c>
      <c r="L35" s="3"/>
      <c r="M35" s="117" t="str">
        <f>IF(SUMIF($Q$3:$Q35,$Q35,L$3:L35)&gt;0,SUMIF($Q$3:$Q35,$Q35,L$3:L35),"")</f>
        <v/>
      </c>
      <c r="N35" s="10">
        <v>67.8</v>
      </c>
      <c r="O35" s="117">
        <f>IF(SUMIF($Q$3:$Q35,$Q35,N$3:N35)&gt;0,SUMIF($Q$3:$Q35,$Q35,N$3:N35),"")</f>
        <v>67.8</v>
      </c>
      <c r="P35" s="12">
        <f>IF(NOT(ISBLANK($A35)),SUM(L$3:L35)-SUM(N$3:N35),"")</f>
        <v>-67.800000000000182</v>
      </c>
      <c r="Q35" s="4" t="s">
        <v>185</v>
      </c>
      <c r="R35" s="16" t="s">
        <v>106</v>
      </c>
      <c r="S35" s="16"/>
    </row>
    <row r="36" spans="1:19" x14ac:dyDescent="0.25">
      <c r="A36" s="7">
        <v>43059</v>
      </c>
      <c r="B36" s="3"/>
      <c r="C36" s="117" t="str">
        <f>IF(SUMIF($Q$3:$Q36,$Q36,B$3:B36)&gt;0,SUMIF($Q$3:$Q36,$Q36,B$3:B36),"")</f>
        <v/>
      </c>
      <c r="D36" s="10"/>
      <c r="E36" s="117" t="str">
        <f>IF(SUMIF($Q$3:$Q36,$Q36,D$3:D36)&gt;0,SUMIF($Q$3:$Q36,$Q36,D$3:D36),"")</f>
        <v/>
      </c>
      <c r="F36" s="12">
        <f>IF(NOT(ISBLANK($A36)),SUM(B$3:B36)-SUM(D$3:D36),"")</f>
        <v>1200.1799999999985</v>
      </c>
      <c r="G36" s="3"/>
      <c r="H36" s="117" t="str">
        <f>IF(SUMIF($Q$3:$Q36,$Q36,G$3:G36)&gt;0,SUMIF($Q$3:$Q36,$Q36,G$3:G36),"")</f>
        <v/>
      </c>
      <c r="I36" s="10"/>
      <c r="J36" s="117" t="str">
        <f>IF(SUMIF($Q$3:$Q36,$Q36,I$3:I36)&gt;0,SUMIF($Q$3:$Q36,$Q36,I$3:I36),"")</f>
        <v/>
      </c>
      <c r="K36" s="12">
        <f>IF(NOT(ISBLANK($A36)),SUM(G$3:G36)-SUM(I$3:I36),"")</f>
        <v>0</v>
      </c>
      <c r="L36" s="3"/>
      <c r="M36" s="117" t="str">
        <f>IF(SUMIF($Q$3:$Q36,$Q36,L$3:L36)&gt;0,SUMIF($Q$3:$Q36,$Q36,L$3:L36),"")</f>
        <v/>
      </c>
      <c r="N36" s="10">
        <v>67.8</v>
      </c>
      <c r="O36" s="117">
        <f>IF(SUMIF($Q$3:$Q36,$Q36,N$3:N36)&gt;0,SUMIF($Q$3:$Q36,$Q36,N$3:N36),"")</f>
        <v>135.6</v>
      </c>
      <c r="P36" s="12">
        <f>IF(NOT(ISBLANK($A36)),SUM(L$3:L36)-SUM(N$3:N36),"")</f>
        <v>-135.60000000000036</v>
      </c>
      <c r="Q36" s="4" t="s">
        <v>185</v>
      </c>
      <c r="R36" s="16" t="s">
        <v>107</v>
      </c>
      <c r="S36" s="16"/>
    </row>
    <row r="37" spans="1:19" x14ac:dyDescent="0.25">
      <c r="A37" s="8">
        <v>43062</v>
      </c>
      <c r="B37" s="5"/>
      <c r="C37" s="118" t="str">
        <f>IF(SUMIF($Q$3:$Q37,$Q37,B$3:B37)&gt;0,SUMIF($Q$3:$Q37,$Q37,B$3:B37),"")</f>
        <v/>
      </c>
      <c r="D37" s="11"/>
      <c r="E37" s="118" t="str">
        <f>IF(SUMIF($Q$3:$Q37,$Q37,D$3:D37)&gt;0,SUMIF($Q$3:$Q37,$Q37,D$3:D37),"")</f>
        <v/>
      </c>
      <c r="F37" s="13">
        <f>IF(NOT(ISBLANK($A37)),SUM(B$3:B37)-SUM(D$3:D37),"")</f>
        <v>1200.1799999999985</v>
      </c>
      <c r="G37" s="5"/>
      <c r="H37" s="118" t="str">
        <f>IF(SUMIF($Q$3:$Q37,$Q37,G$3:G37)&gt;0,SUMIF($Q$3:$Q37,$Q37,G$3:G37),"")</f>
        <v/>
      </c>
      <c r="I37" s="11">
        <v>162.58000000000001</v>
      </c>
      <c r="J37" s="118">
        <f>IF(SUMIF($Q$3:$Q37,$Q37,I$3:I37)&gt;0,SUMIF($Q$3:$Q37,$Q37,I$3:I37),"")</f>
        <v>681.15000000000009</v>
      </c>
      <c r="K37" s="13">
        <f>IF(NOT(ISBLANK($A37)),SUM(G$3:G37)-SUM(I$3:I37),"")</f>
        <v>-162.58000000000004</v>
      </c>
      <c r="L37" s="5"/>
      <c r="M37" s="118" t="str">
        <f>IF(SUMIF($Q$3:$Q37,$Q37,L$3:L37)&gt;0,SUMIF($Q$3:$Q37,$Q37,L$3:L37),"")</f>
        <v/>
      </c>
      <c r="N37" s="11"/>
      <c r="O37" s="118" t="str">
        <f>IF(SUMIF($Q$3:$Q37,$Q37,N$3:N37)&gt;0,SUMIF($Q$3:$Q37,$Q37,N$3:N37),"")</f>
        <v/>
      </c>
      <c r="P37" s="13">
        <f>IF(NOT(ISBLANK($A37)),SUM(L$3:L37)-SUM(N$3:N37),"")</f>
        <v>-135.60000000000036</v>
      </c>
      <c r="Q37" s="6" t="s">
        <v>53</v>
      </c>
      <c r="R37" s="17" t="s">
        <v>179</v>
      </c>
      <c r="S37" s="17"/>
    </row>
    <row r="38" spans="1:19" x14ac:dyDescent="0.25">
      <c r="A38" s="8">
        <v>43062</v>
      </c>
      <c r="B38" s="5"/>
      <c r="C38" s="118" t="str">
        <f>IF(SUMIF($Q$3:$Q38,$Q38,B$3:B38)&gt;0,SUMIF($Q$3:$Q38,$Q38,B$3:B38),"")</f>
        <v/>
      </c>
      <c r="D38" s="11"/>
      <c r="E38" s="118" t="str">
        <f>IF(SUMIF($Q$3:$Q38,$Q38,D$3:D38)&gt;0,SUMIF($Q$3:$Q38,$Q38,D$3:D38),"")</f>
        <v/>
      </c>
      <c r="F38" s="13">
        <f>IF(NOT(ISBLANK($A38)),SUM(B$3:B38)-SUM(D$3:D38),"")</f>
        <v>1200.1799999999985</v>
      </c>
      <c r="G38" s="5"/>
      <c r="H38" s="118" t="str">
        <f>IF(SUMIF($Q$3:$Q38,$Q38,G$3:G38)&gt;0,SUMIF($Q$3:$Q38,$Q38,G$3:G38),"")</f>
        <v/>
      </c>
      <c r="I38" s="11">
        <v>97.65</v>
      </c>
      <c r="J38" s="118">
        <f>IF(SUMIF($Q$3:$Q38,$Q38,I$3:I38)&gt;0,SUMIF($Q$3:$Q38,$Q38,I$3:I38),"")</f>
        <v>97.65</v>
      </c>
      <c r="K38" s="13">
        <f>IF(NOT(ISBLANK($A38)),SUM(G$3:G38)-SUM(I$3:I38),"")</f>
        <v>-260.23</v>
      </c>
      <c r="L38" s="5"/>
      <c r="M38" s="118" t="str">
        <f>IF(SUMIF($Q$3:$Q38,$Q38,L$3:L38)&gt;0,SUMIF($Q$3:$Q38,$Q38,L$3:L38),"")</f>
        <v/>
      </c>
      <c r="N38" s="11"/>
      <c r="O38" s="118" t="str">
        <f>IF(SUMIF($Q$3:$Q38,$Q38,N$3:N38)&gt;0,SUMIF($Q$3:$Q38,$Q38,N$3:N38),"")</f>
        <v/>
      </c>
      <c r="P38" s="13">
        <f>IF(NOT(ISBLANK($A38)),SUM(L$3:L38)-SUM(N$3:N38),"")</f>
        <v>-135.60000000000036</v>
      </c>
      <c r="Q38" s="6" t="s">
        <v>95</v>
      </c>
      <c r="R38" s="17" t="s">
        <v>184</v>
      </c>
      <c r="S38" s="17"/>
    </row>
    <row r="39" spans="1:19" x14ac:dyDescent="0.25">
      <c r="A39" s="7">
        <v>43063</v>
      </c>
      <c r="B39" s="3"/>
      <c r="C39" s="117" t="str">
        <f>IF(SUMIF($Q$3:$Q39,$Q39,B$3:B39)&gt;0,SUMIF($Q$3:$Q39,$Q39,B$3:B39),"")</f>
        <v/>
      </c>
      <c r="D39" s="10">
        <v>260.23</v>
      </c>
      <c r="E39" s="117" t="str">
        <f>IF(SUMIF($Q$3:$Q39,$Q39,D$3:D39)&gt;0,SUMIF($Q$3:$Q39,$Q39,D$3:D39),"")</f>
        <v/>
      </c>
      <c r="F39" s="12">
        <f>IF(NOT(ISBLANK($A39)),SUM(B$3:B39)-SUM(D$3:D39),"")</f>
        <v>939.949999999998</v>
      </c>
      <c r="G39" s="3">
        <v>260.23</v>
      </c>
      <c r="H39" s="117" t="str">
        <f>IF(SUMIF($Q$3:$Q39,$Q39,G$3:G39)&gt;0,SUMIF($Q$3:$Q39,$Q39,G$3:G39),"")</f>
        <v/>
      </c>
      <c r="I39" s="10"/>
      <c r="J39" s="117" t="str">
        <f>IF(SUMIF($Q$3:$Q39,$Q39,I$3:I39)&gt;0,SUMIF($Q$3:$Q39,$Q39,I$3:I39),"")</f>
        <v/>
      </c>
      <c r="K39" s="12">
        <f>IF(NOT(ISBLANK($A39)),SUM(G$3:G39)-SUM(I$3:I39),"")</f>
        <v>0</v>
      </c>
      <c r="L39" s="3"/>
      <c r="M39" s="117" t="str">
        <f>IF(SUMIF($Q$3:$Q39,$Q39,L$3:L39)&gt;0,SUMIF($Q$3:$Q39,$Q39,L$3:L39),"")</f>
        <v/>
      </c>
      <c r="N39" s="10"/>
      <c r="O39" s="117" t="str">
        <f>IF(SUMIF($Q$3:$Q39,$Q39,N$3:N39)&gt;0,SUMIF($Q$3:$Q39,$Q39,N$3:N39),"")</f>
        <v/>
      </c>
      <c r="P39" s="12">
        <f>IF(NOT(ISBLANK($A39)),SUM(L$3:L39)-SUM(N$3:N39),"")</f>
        <v>-135.60000000000036</v>
      </c>
      <c r="Q39" s="4"/>
      <c r="R39" s="16"/>
      <c r="S39" s="16"/>
    </row>
    <row r="40" spans="1:19" x14ac:dyDescent="0.25">
      <c r="A40" s="7">
        <v>43063</v>
      </c>
      <c r="B40" s="3"/>
      <c r="C40" s="117" t="str">
        <f>IF(SUMIF($Q$3:$Q40,$Q40,B$3:B40)&gt;0,SUMIF($Q$3:$Q40,$Q40,B$3:B40),"")</f>
        <v/>
      </c>
      <c r="D40" s="10"/>
      <c r="E40" s="117" t="str">
        <f>IF(SUMIF($Q$3:$Q40,$Q40,D$3:D40)&gt;0,SUMIF($Q$3:$Q40,$Q40,D$3:D40),"")</f>
        <v/>
      </c>
      <c r="F40" s="12">
        <f>IF(NOT(ISBLANK($A40)),SUM(B$3:B40)-SUM(D$3:D40),"")</f>
        <v>939.949999999998</v>
      </c>
      <c r="G40" s="3"/>
      <c r="H40" s="117" t="str">
        <f>IF(SUMIF($Q$3:$Q40,$Q40,G$3:G40)&gt;0,SUMIF($Q$3:$Q40,$Q40,G$3:G40),"")</f>
        <v/>
      </c>
      <c r="I40" s="10">
        <v>31.35</v>
      </c>
      <c r="J40" s="117">
        <f>IF(SUMIF($Q$3:$Q40,$Q40,I$3:I40)&gt;0,SUMIF($Q$3:$Q40,$Q40,I$3:I40),"")</f>
        <v>129</v>
      </c>
      <c r="K40" s="12">
        <f>IF(NOT(ISBLANK($A40)),SUM(G$3:G40)-SUM(I$3:I40),"")</f>
        <v>-31.350000000000023</v>
      </c>
      <c r="L40" s="3"/>
      <c r="M40" s="117" t="str">
        <f>IF(SUMIF($Q$3:$Q40,$Q40,L$3:L40)&gt;0,SUMIF($Q$3:$Q40,$Q40,L$3:L40),"")</f>
        <v/>
      </c>
      <c r="N40" s="10"/>
      <c r="O40" s="117" t="str">
        <f>IF(SUMIF($Q$3:$Q40,$Q40,N$3:N40)&gt;0,SUMIF($Q$3:$Q40,$Q40,N$3:N40),"")</f>
        <v/>
      </c>
      <c r="P40" s="12">
        <f>IF(NOT(ISBLANK($A40)),SUM(L$3:L40)-SUM(N$3:N40),"")</f>
        <v>-135.60000000000036</v>
      </c>
      <c r="Q40" s="4" t="s">
        <v>95</v>
      </c>
      <c r="R40" s="16" t="s">
        <v>184</v>
      </c>
      <c r="S40" s="16"/>
    </row>
    <row r="41" spans="1:19" x14ac:dyDescent="0.25">
      <c r="A41" s="8">
        <v>43064</v>
      </c>
      <c r="B41" s="5"/>
      <c r="C41" s="118" t="str">
        <f>IF(SUMIF($Q$3:$Q41,$Q41,B$3:B41)&gt;0,SUMIF($Q$3:$Q41,$Q41,B$3:B41),"")</f>
        <v/>
      </c>
      <c r="D41" s="11"/>
      <c r="E41" s="118" t="str">
        <f>IF(SUMIF($Q$3:$Q41,$Q41,D$3:D41)&gt;0,SUMIF($Q$3:$Q41,$Q41,D$3:D41),"")</f>
        <v/>
      </c>
      <c r="F41" s="13">
        <f>IF(NOT(ISBLANK($A41)),SUM(B$3:B41)-SUM(D$3:D41),"")</f>
        <v>939.949999999998</v>
      </c>
      <c r="G41" s="5"/>
      <c r="H41" s="118" t="str">
        <f>IF(SUMIF($Q$3:$Q41,$Q41,G$3:G41)&gt;0,SUMIF($Q$3:$Q41,$Q41,G$3:G41),"")</f>
        <v/>
      </c>
      <c r="I41" s="11">
        <v>52.91</v>
      </c>
      <c r="J41" s="118">
        <f>IF(SUMIF($Q$3:$Q41,$Q41,I$3:I41)&gt;0,SUMIF($Q$3:$Q41,$Q41,I$3:I41),"")</f>
        <v>220.39</v>
      </c>
      <c r="K41" s="13">
        <f>IF(NOT(ISBLANK($A41)),SUM(G$3:G41)-SUM(I$3:I41),"")</f>
        <v>-84.259999999999991</v>
      </c>
      <c r="L41" s="5"/>
      <c r="M41" s="118" t="str">
        <f>IF(SUMIF($Q$3:$Q41,$Q41,L$3:L41)&gt;0,SUMIF($Q$3:$Q41,$Q41,L$3:L41),"")</f>
        <v/>
      </c>
      <c r="N41" s="11"/>
      <c r="O41" s="118" t="str">
        <f>IF(SUMIF($Q$3:$Q41,$Q41,N$3:N41)&gt;0,SUMIF($Q$3:$Q41,$Q41,N$3:N41),"")</f>
        <v/>
      </c>
      <c r="P41" s="13">
        <f>IF(NOT(ISBLANK($A41)),SUM(L$3:L41)-SUM(N$3:N41),"")</f>
        <v>-135.60000000000036</v>
      </c>
      <c r="Q41" s="6" t="s">
        <v>51</v>
      </c>
      <c r="R41" s="17" t="s">
        <v>180</v>
      </c>
      <c r="S41" s="17"/>
    </row>
    <row r="42" spans="1:19" x14ac:dyDescent="0.25">
      <c r="A42" s="8">
        <v>43064</v>
      </c>
      <c r="B42" s="5"/>
      <c r="C42" s="118" t="str">
        <f>IF(SUMIF($Q$3:$Q42,$Q42,B$3:B42)&gt;0,SUMIF($Q$3:$Q42,$Q42,B$3:B42),"")</f>
        <v/>
      </c>
      <c r="D42" s="11"/>
      <c r="E42" s="118" t="str">
        <f>IF(SUMIF($Q$3:$Q42,$Q42,D$3:D42)&gt;0,SUMIF($Q$3:$Q42,$Q42,D$3:D42),"")</f>
        <v/>
      </c>
      <c r="F42" s="13">
        <f>IF(NOT(ISBLANK($A42)),SUM(B$3:B42)-SUM(D$3:D42),"")</f>
        <v>939.949999999998</v>
      </c>
      <c r="G42" s="5"/>
      <c r="H42" s="118" t="str">
        <f>IF(SUMIF($Q$3:$Q42,$Q42,G$3:G42)&gt;0,SUMIF($Q$3:$Q42,$Q42,G$3:G42),"")</f>
        <v/>
      </c>
      <c r="I42" s="11">
        <v>29.84</v>
      </c>
      <c r="J42" s="118">
        <f>IF(SUMIF($Q$3:$Q42,$Q42,I$3:I42)&gt;0,SUMIF($Q$3:$Q42,$Q42,I$3:I42),"")</f>
        <v>250.23</v>
      </c>
      <c r="K42" s="13">
        <f>IF(NOT(ISBLANK($A42)),SUM(G$3:G42)-SUM(I$3:I42),"")</f>
        <v>-114.09999999999991</v>
      </c>
      <c r="L42" s="5"/>
      <c r="M42" s="118" t="str">
        <f>IF(SUMIF($Q$3:$Q42,$Q42,L$3:L42)&gt;0,SUMIF($Q$3:$Q42,$Q42,L$3:L42),"")</f>
        <v/>
      </c>
      <c r="N42" s="11"/>
      <c r="O42" s="118" t="str">
        <f>IF(SUMIF($Q$3:$Q42,$Q42,N$3:N42)&gt;0,SUMIF($Q$3:$Q42,$Q42,N$3:N42),"")</f>
        <v/>
      </c>
      <c r="P42" s="13">
        <f>IF(NOT(ISBLANK($A42)),SUM(L$3:L42)-SUM(N$3:N42),"")</f>
        <v>-135.60000000000036</v>
      </c>
      <c r="Q42" s="6" t="s">
        <v>51</v>
      </c>
      <c r="R42" s="17" t="s">
        <v>181</v>
      </c>
      <c r="S42" s="17"/>
    </row>
    <row r="43" spans="1:19" x14ac:dyDescent="0.25">
      <c r="A43" s="7">
        <v>43064</v>
      </c>
      <c r="B43" s="3"/>
      <c r="C43" s="117" t="str">
        <f>IF(SUMIF($Q$3:$Q43,$Q43,B$3:B43)&gt;0,SUMIF($Q$3:$Q43,$Q43,B$3:B43),"")</f>
        <v/>
      </c>
      <c r="D43" s="10"/>
      <c r="E43" s="117" t="str">
        <f>IF(SUMIF($Q$3:$Q43,$Q43,D$3:D43)&gt;0,SUMIF($Q$3:$Q43,$Q43,D$3:D43),"")</f>
        <v/>
      </c>
      <c r="F43" s="12">
        <f>IF(NOT(ISBLANK($A43)),SUM(B$3:B43)-SUM(D$3:D43),"")</f>
        <v>939.949999999998</v>
      </c>
      <c r="G43" s="3"/>
      <c r="H43" s="117" t="str">
        <f>IF(SUMIF($Q$3:$Q43,$Q43,G$3:G43)&gt;0,SUMIF($Q$3:$Q43,$Q43,G$3:G43),"")</f>
        <v/>
      </c>
      <c r="I43" s="10">
        <v>28.15</v>
      </c>
      <c r="J43" s="117">
        <f>IF(SUMIF($Q$3:$Q43,$Q43,I$3:I43)&gt;0,SUMIF($Q$3:$Q43,$Q43,I$3:I43),"")</f>
        <v>278.38</v>
      </c>
      <c r="K43" s="12">
        <f>IF(NOT(ISBLANK($A43)),SUM(G$3:G43)-SUM(I$3:I43),"")</f>
        <v>-142.25</v>
      </c>
      <c r="L43" s="3"/>
      <c r="M43" s="117" t="str">
        <f>IF(SUMIF($Q$3:$Q43,$Q43,L$3:L43)&gt;0,SUMIF($Q$3:$Q43,$Q43,L$3:L43),"")</f>
        <v/>
      </c>
      <c r="N43" s="10"/>
      <c r="O43" s="117" t="str">
        <f>IF(SUMIF($Q$3:$Q43,$Q43,N$3:N43)&gt;0,SUMIF($Q$3:$Q43,$Q43,N$3:N43),"")</f>
        <v/>
      </c>
      <c r="P43" s="12">
        <f>IF(NOT(ISBLANK($A43)),SUM(L$3:L43)-SUM(N$3:N43),"")</f>
        <v>-135.60000000000036</v>
      </c>
      <c r="Q43" s="4" t="s">
        <v>51</v>
      </c>
      <c r="R43" s="16" t="s">
        <v>182</v>
      </c>
      <c r="S43" s="16"/>
    </row>
    <row r="44" spans="1:19" x14ac:dyDescent="0.25">
      <c r="A44" s="7">
        <v>43065</v>
      </c>
      <c r="B44" s="3"/>
      <c r="C44" s="117" t="str">
        <f>IF(SUMIF($Q$3:$Q44,$Q44,B$3:B44)&gt;0,SUMIF($Q$3:$Q44,$Q44,B$3:B44),"")</f>
        <v/>
      </c>
      <c r="D44" s="10"/>
      <c r="E44" s="117" t="str">
        <f>IF(SUMIF($Q$3:$Q44,$Q44,D$3:D44)&gt;0,SUMIF($Q$3:$Q44,$Q44,D$3:D44),"")</f>
        <v/>
      </c>
      <c r="F44" s="12">
        <f>IF(NOT(ISBLANK($A44)),SUM(B$3:B44)-SUM(D$3:D44),"")</f>
        <v>939.949999999998</v>
      </c>
      <c r="G44" s="3"/>
      <c r="H44" s="117" t="str">
        <f>IF(SUMIF($Q$3:$Q44,$Q44,G$3:G44)&gt;0,SUMIF($Q$3:$Q44,$Q44,G$3:G44),"")</f>
        <v/>
      </c>
      <c r="I44" s="10">
        <v>252.28</v>
      </c>
      <c r="J44" s="117">
        <f>IF(SUMIF($Q$3:$Q44,$Q44,I$3:I44)&gt;0,SUMIF($Q$3:$Q44,$Q44,I$3:I44),"")</f>
        <v>252.28</v>
      </c>
      <c r="K44" s="12">
        <f>IF(NOT(ISBLANK($A44)),SUM(G$3:G44)-SUM(I$3:I44),"")</f>
        <v>-394.53</v>
      </c>
      <c r="L44" s="3"/>
      <c r="M44" s="117" t="str">
        <f>IF(SUMIF($Q$3:$Q44,$Q44,L$3:L44)&gt;0,SUMIF($Q$3:$Q44,$Q44,L$3:L44),"")</f>
        <v/>
      </c>
      <c r="N44" s="10"/>
      <c r="O44" s="117" t="str">
        <f>IF(SUMIF($Q$3:$Q44,$Q44,N$3:N44)&gt;0,SUMIF($Q$3:$Q44,$Q44,N$3:N44),"")</f>
        <v/>
      </c>
      <c r="P44" s="12">
        <f>IF(NOT(ISBLANK($A44)),SUM(L$3:L44)-SUM(N$3:N44),"")</f>
        <v>-135.60000000000036</v>
      </c>
      <c r="Q44" s="4" t="s">
        <v>183</v>
      </c>
      <c r="R44" s="16" t="s">
        <v>184</v>
      </c>
      <c r="S44" s="16"/>
    </row>
    <row r="45" spans="1:19" x14ac:dyDescent="0.25">
      <c r="A45" s="8">
        <v>43066</v>
      </c>
      <c r="B45" s="5"/>
      <c r="C45" s="118" t="str">
        <f>IF(SUMIF($Q$3:$Q45,$Q45,B$3:B45)&gt;0,SUMIF($Q$3:$Q45,$Q45,B$3:B45),"")</f>
        <v/>
      </c>
      <c r="D45" s="11">
        <v>28.15</v>
      </c>
      <c r="E45" s="118">
        <f>IF(SUMIF($Q$3:$Q45,$Q45,D$3:D45)&gt;0,SUMIF($Q$3:$Q45,$Q45,D$3:D45),"")</f>
        <v>2387.3399999999997</v>
      </c>
      <c r="F45" s="13">
        <f>IF(NOT(ISBLANK($A45)),SUM(B$3:B45)-SUM(D$3:D45),"")</f>
        <v>911.79999999999836</v>
      </c>
      <c r="G45" s="5">
        <v>28.15</v>
      </c>
      <c r="H45" s="118">
        <f>IF(SUMIF($Q$3:$Q45,$Q45,G$3:G45)&gt;0,SUMIF($Q$3:$Q45,$Q45,G$3:G45),"")</f>
        <v>714.19999999999993</v>
      </c>
      <c r="I45" s="11"/>
      <c r="J45" s="118" t="str">
        <f>IF(SUMIF($Q$3:$Q45,$Q45,I$3:I45)&gt;0,SUMIF($Q$3:$Q45,$Q45,I$3:I45),"")</f>
        <v/>
      </c>
      <c r="K45" s="13">
        <f>IF(NOT(ISBLANK($A45)),SUM(G$3:G45)-SUM(I$3:I45),"")</f>
        <v>-366.38</v>
      </c>
      <c r="L45" s="5"/>
      <c r="M45" s="118">
        <f>IF(SUMIF($Q$3:$Q45,$Q45,L$3:L45)&gt;0,SUMIF($Q$3:$Q45,$Q45,L$3:L45),"")</f>
        <v>1673.14</v>
      </c>
      <c r="N45" s="11"/>
      <c r="O45" s="118" t="str">
        <f>IF(SUMIF($Q$3:$Q45,$Q45,N$3:N45)&gt;0,SUMIF($Q$3:$Q45,$Q45,N$3:N45),"")</f>
        <v/>
      </c>
      <c r="P45" s="13">
        <f>IF(NOT(ISBLANK($A45)),SUM(L$3:L45)-SUM(N$3:N45),"")</f>
        <v>-135.60000000000036</v>
      </c>
      <c r="Q45" s="6" t="s">
        <v>18</v>
      </c>
      <c r="R45" s="17"/>
      <c r="S45" s="17"/>
    </row>
    <row r="46" spans="1:19" x14ac:dyDescent="0.25">
      <c r="A46" s="8">
        <v>43066</v>
      </c>
      <c r="B46" s="5"/>
      <c r="C46" s="118" t="str">
        <f>IF(SUMIF($Q$3:$Q46,$Q46,B$3:B46)&gt;0,SUMIF($Q$3:$Q46,$Q46,B$3:B46),"")</f>
        <v/>
      </c>
      <c r="D46" s="11">
        <v>29.84</v>
      </c>
      <c r="E46" s="118">
        <f>IF(SUMIF($Q$3:$Q46,$Q46,D$3:D46)&gt;0,SUMIF($Q$3:$Q46,$Q46,D$3:D46),"")</f>
        <v>2417.1799999999998</v>
      </c>
      <c r="F46" s="13">
        <f>IF(NOT(ISBLANK($A46)),SUM(B$3:B46)-SUM(D$3:D46),"")</f>
        <v>881.95999999999822</v>
      </c>
      <c r="G46" s="5">
        <v>29.84</v>
      </c>
      <c r="H46" s="118">
        <f>IF(SUMIF($Q$3:$Q46,$Q46,G$3:G46)&gt;0,SUMIF($Q$3:$Q46,$Q46,G$3:G46),"")</f>
        <v>744.04</v>
      </c>
      <c r="I46" s="11"/>
      <c r="J46" s="118" t="str">
        <f>IF(SUMIF($Q$3:$Q46,$Q46,I$3:I46)&gt;0,SUMIF($Q$3:$Q46,$Q46,I$3:I46),"")</f>
        <v/>
      </c>
      <c r="K46" s="13">
        <f>IF(NOT(ISBLANK($A46)),SUM(G$3:G46)-SUM(I$3:I46),"")</f>
        <v>-336.53999999999996</v>
      </c>
      <c r="L46" s="5"/>
      <c r="M46" s="118">
        <f>IF(SUMIF($Q$3:$Q46,$Q46,L$3:L46)&gt;0,SUMIF($Q$3:$Q46,$Q46,L$3:L46),"")</f>
        <v>1673.14</v>
      </c>
      <c r="N46" s="11"/>
      <c r="O46" s="118" t="str">
        <f>IF(SUMIF($Q$3:$Q46,$Q46,N$3:N46)&gt;0,SUMIF($Q$3:$Q46,$Q46,N$3:N46),"")</f>
        <v/>
      </c>
      <c r="P46" s="13">
        <f>IF(NOT(ISBLANK($A46)),SUM(L$3:L46)-SUM(N$3:N46),"")</f>
        <v>-135.60000000000036</v>
      </c>
      <c r="Q46" s="6" t="s">
        <v>18</v>
      </c>
      <c r="R46" s="17"/>
      <c r="S46" s="17"/>
    </row>
    <row r="47" spans="1:19" x14ac:dyDescent="0.25">
      <c r="A47" s="7">
        <v>43066</v>
      </c>
      <c r="B47" s="3"/>
      <c r="C47" s="117" t="str">
        <f>IF(SUMIF($Q$3:$Q47,$Q47,B$3:B47)&gt;0,SUMIF($Q$3:$Q47,$Q47,B$3:B47),"")</f>
        <v/>
      </c>
      <c r="D47" s="10">
        <v>31.35</v>
      </c>
      <c r="E47" s="117">
        <f>IF(SUMIF($Q$3:$Q47,$Q47,D$3:D47)&gt;0,SUMIF($Q$3:$Q47,$Q47,D$3:D47),"")</f>
        <v>2448.5299999999997</v>
      </c>
      <c r="F47" s="12">
        <f>IF(NOT(ISBLANK($A47)),SUM(B$3:B47)-SUM(D$3:D47),"")</f>
        <v>850.60999999999785</v>
      </c>
      <c r="G47" s="3">
        <v>31.35</v>
      </c>
      <c r="H47" s="117">
        <f>IF(SUMIF($Q$3:$Q47,$Q47,G$3:G47)&gt;0,SUMIF($Q$3:$Q47,$Q47,G$3:G47),"")</f>
        <v>775.39</v>
      </c>
      <c r="I47" s="10"/>
      <c r="J47" s="117" t="str">
        <f>IF(SUMIF($Q$3:$Q47,$Q47,I$3:I47)&gt;0,SUMIF($Q$3:$Q47,$Q47,I$3:I47),"")</f>
        <v/>
      </c>
      <c r="K47" s="12">
        <f>IF(NOT(ISBLANK($A47)),SUM(G$3:G47)-SUM(I$3:I47),"")</f>
        <v>-305.19000000000005</v>
      </c>
      <c r="L47" s="3"/>
      <c r="M47" s="117">
        <f>IF(SUMIF($Q$3:$Q47,$Q47,L$3:L47)&gt;0,SUMIF($Q$3:$Q47,$Q47,L$3:L47),"")</f>
        <v>1673.14</v>
      </c>
      <c r="N47" s="10"/>
      <c r="O47" s="117" t="str">
        <f>IF(SUMIF($Q$3:$Q47,$Q47,N$3:N47)&gt;0,SUMIF($Q$3:$Q47,$Q47,N$3:N47),"")</f>
        <v/>
      </c>
      <c r="P47" s="12">
        <f>IF(NOT(ISBLANK($A47)),SUM(L$3:L47)-SUM(N$3:N47),"")</f>
        <v>-135.60000000000036</v>
      </c>
      <c r="Q47" s="4" t="s">
        <v>18</v>
      </c>
      <c r="R47" s="16"/>
      <c r="S47" s="16"/>
    </row>
    <row r="48" spans="1:19" x14ac:dyDescent="0.25">
      <c r="A48" s="7">
        <v>43066</v>
      </c>
      <c r="B48" s="3"/>
      <c r="C48" s="117" t="str">
        <f>IF(SUMIF($Q$3:$Q48,$Q48,B$3:B48)&gt;0,SUMIF($Q$3:$Q48,$Q48,B$3:B48),"")</f>
        <v/>
      </c>
      <c r="D48" s="10">
        <v>52.91</v>
      </c>
      <c r="E48" s="117">
        <f>IF(SUMIF($Q$3:$Q48,$Q48,D$3:D48)&gt;0,SUMIF($Q$3:$Q48,$Q48,D$3:D48),"")</f>
        <v>2501.4399999999996</v>
      </c>
      <c r="F48" s="12">
        <f>IF(NOT(ISBLANK($A48)),SUM(B$3:B48)-SUM(D$3:D48),"")</f>
        <v>797.699999999998</v>
      </c>
      <c r="G48" s="3">
        <v>52.91</v>
      </c>
      <c r="H48" s="117">
        <f>IF(SUMIF($Q$3:$Q48,$Q48,G$3:G48)&gt;0,SUMIF($Q$3:$Q48,$Q48,G$3:G48),"")</f>
        <v>828.3</v>
      </c>
      <c r="I48" s="10"/>
      <c r="J48" s="117" t="str">
        <f>IF(SUMIF($Q$3:$Q48,$Q48,I$3:I48)&gt;0,SUMIF($Q$3:$Q48,$Q48,I$3:I48),"")</f>
        <v/>
      </c>
      <c r="K48" s="12">
        <f>IF(NOT(ISBLANK($A48)),SUM(G$3:G48)-SUM(I$3:I48),"")</f>
        <v>-252.27999999999997</v>
      </c>
      <c r="L48" s="3"/>
      <c r="M48" s="117">
        <f>IF(SUMIF($Q$3:$Q48,$Q48,L$3:L48)&gt;0,SUMIF($Q$3:$Q48,$Q48,L$3:L48),"")</f>
        <v>1673.14</v>
      </c>
      <c r="N48" s="10"/>
      <c r="O48" s="117" t="str">
        <f>IF(SUMIF($Q$3:$Q48,$Q48,N$3:N48)&gt;0,SUMIF($Q$3:$Q48,$Q48,N$3:N48),"")</f>
        <v/>
      </c>
      <c r="P48" s="12">
        <f>IF(NOT(ISBLANK($A48)),SUM(L$3:L48)-SUM(N$3:N48),"")</f>
        <v>-135.60000000000036</v>
      </c>
      <c r="Q48" s="4" t="s">
        <v>18</v>
      </c>
      <c r="R48" s="16"/>
      <c r="S48" s="16"/>
    </row>
    <row r="49" spans="1:19" x14ac:dyDescent="0.25">
      <c r="A49" s="8">
        <v>43068</v>
      </c>
      <c r="B49" s="5"/>
      <c r="C49" s="118" t="str">
        <f>IF(SUMIF($Q$3:$Q49,$Q49,B$3:B49)&gt;0,SUMIF($Q$3:$Q49,$Q49,B$3:B49),"")</f>
        <v/>
      </c>
      <c r="D49" s="11"/>
      <c r="E49" s="118" t="str">
        <f>IF(SUMIF($Q$3:$Q49,$Q49,D$3:D49)&gt;0,SUMIF($Q$3:$Q49,$Q49,D$3:D49),"")</f>
        <v/>
      </c>
      <c r="F49" s="13">
        <f>IF(NOT(ISBLANK($A49)),SUM(B$3:B49)-SUM(D$3:D49),"")</f>
        <v>797.699999999998</v>
      </c>
      <c r="G49" s="5"/>
      <c r="H49" s="118" t="str">
        <f>IF(SUMIF($Q$3:$Q49,$Q49,G$3:G49)&gt;0,SUMIF($Q$3:$Q49,$Q49,G$3:G49),"")</f>
        <v/>
      </c>
      <c r="I49" s="11"/>
      <c r="J49" s="118" t="str">
        <f>IF(SUMIF($Q$3:$Q49,$Q49,I$3:I49)&gt;0,SUMIF($Q$3:$Q49,$Q49,I$3:I49),"")</f>
        <v/>
      </c>
      <c r="K49" s="13">
        <f>IF(NOT(ISBLANK($A49)),SUM(G$3:G49)-SUM(I$3:I49),"")</f>
        <v>-252.27999999999997</v>
      </c>
      <c r="L49" s="5"/>
      <c r="M49" s="118" t="str">
        <f>IF(SUMIF($Q$3:$Q49,$Q49,L$3:L49)&gt;0,SUMIF($Q$3:$Q49,$Q49,L$3:L49),"")</f>
        <v/>
      </c>
      <c r="N49" s="11">
        <v>73</v>
      </c>
      <c r="O49" s="118">
        <f>IF(SUMIF($Q$3:$Q49,$Q49,N$3:N49)&gt;0,SUMIF($Q$3:$Q49,$Q49,N$3:N49),"")</f>
        <v>208.6</v>
      </c>
      <c r="P49" s="13">
        <f>IF(NOT(ISBLANK($A49)),SUM(L$3:L49)-SUM(N$3:N49),"")</f>
        <v>-208.60000000000036</v>
      </c>
      <c r="Q49" s="6" t="s">
        <v>185</v>
      </c>
      <c r="R49" s="17" t="s">
        <v>106</v>
      </c>
      <c r="S49" s="17"/>
    </row>
    <row r="50" spans="1:19" x14ac:dyDescent="0.25">
      <c r="A50" s="8">
        <v>43068</v>
      </c>
      <c r="B50" s="5"/>
      <c r="C50" s="118" t="str">
        <f>IF(SUMIF($Q$3:$Q50,$Q50,B$3:B50)&gt;0,SUMIF($Q$3:$Q50,$Q50,B$3:B50),"")</f>
        <v/>
      </c>
      <c r="D50" s="11"/>
      <c r="E50" s="118" t="str">
        <f>IF(SUMIF($Q$3:$Q50,$Q50,D$3:D50)&gt;0,SUMIF($Q$3:$Q50,$Q50,D$3:D50),"")</f>
        <v/>
      </c>
      <c r="F50" s="13">
        <f>IF(NOT(ISBLANK($A50)),SUM(B$3:B50)-SUM(D$3:D50),"")</f>
        <v>797.699999999998</v>
      </c>
      <c r="G50" s="5"/>
      <c r="H50" s="118" t="str">
        <f>IF(SUMIF($Q$3:$Q50,$Q50,G$3:G50)&gt;0,SUMIF($Q$3:$Q50,$Q50,G$3:G50),"")</f>
        <v/>
      </c>
      <c r="I50" s="11"/>
      <c r="J50" s="118" t="str">
        <f>IF(SUMIF($Q$3:$Q50,$Q50,I$3:I50)&gt;0,SUMIF($Q$3:$Q50,$Q50,I$3:I50),"")</f>
        <v/>
      </c>
      <c r="K50" s="13">
        <f>IF(NOT(ISBLANK($A50)),SUM(G$3:G50)-SUM(I$3:I50),"")</f>
        <v>-252.27999999999997</v>
      </c>
      <c r="L50" s="5"/>
      <c r="M50" s="118" t="str">
        <f>IF(SUMIF($Q$3:$Q50,$Q50,L$3:L50)&gt;0,SUMIF($Q$3:$Q50,$Q50,L$3:L50),"")</f>
        <v/>
      </c>
      <c r="N50" s="11">
        <v>78</v>
      </c>
      <c r="O50" s="118">
        <f>IF(SUMIF($Q$3:$Q50,$Q50,N$3:N50)&gt;0,SUMIF($Q$3:$Q50,$Q50,N$3:N50),"")</f>
        <v>286.60000000000002</v>
      </c>
      <c r="P50" s="13">
        <f>IF(NOT(ISBLANK($A50)),SUM(L$3:L50)-SUM(N$3:N50),"")</f>
        <v>-286.60000000000036</v>
      </c>
      <c r="Q50" s="6" t="s">
        <v>185</v>
      </c>
      <c r="R50" s="17" t="s">
        <v>107</v>
      </c>
      <c r="S50" s="17"/>
    </row>
    <row r="51" spans="1:19" x14ac:dyDescent="0.25">
      <c r="A51" s="7">
        <v>43068</v>
      </c>
      <c r="B51" s="3"/>
      <c r="C51" s="117" t="str">
        <f>IF(SUMIF($Q$3:$Q51,$Q51,B$3:B51)&gt;0,SUMIF($Q$3:$Q51,$Q51,B$3:B51),"")</f>
        <v/>
      </c>
      <c r="D51" s="10"/>
      <c r="E51" s="117" t="str">
        <f>IF(SUMIF($Q$3:$Q51,$Q51,D$3:D51)&gt;0,SUMIF($Q$3:$Q51,$Q51,D$3:D51),"")</f>
        <v/>
      </c>
      <c r="F51" s="12">
        <f>IF(NOT(ISBLANK($A51)),SUM(B$3:B51)-SUM(D$3:D51),"")</f>
        <v>797.699999999998</v>
      </c>
      <c r="G51" s="3"/>
      <c r="H51" s="117" t="str">
        <f>IF(SUMIF($Q$3:$Q51,$Q51,G$3:G51)&gt;0,SUMIF($Q$3:$Q51,$Q51,G$3:G51),"")</f>
        <v/>
      </c>
      <c r="I51" s="10"/>
      <c r="J51" s="117" t="str">
        <f>IF(SUMIF($Q$3:$Q51,$Q51,I$3:I51)&gt;0,SUMIF($Q$3:$Q51,$Q51,I$3:I51),"")</f>
        <v/>
      </c>
      <c r="K51" s="12">
        <f>IF(NOT(ISBLANK($A51)),SUM(G$3:G51)-SUM(I$3:I51),"")</f>
        <v>-252.27999999999997</v>
      </c>
      <c r="L51" s="3"/>
      <c r="M51" s="117" t="str">
        <f>IF(SUMIF($Q$3:$Q51,$Q51,L$3:L51)&gt;0,SUMIF($Q$3:$Q51,$Q51,L$3:L51),"")</f>
        <v/>
      </c>
      <c r="N51" s="10">
        <v>800</v>
      </c>
      <c r="O51" s="117">
        <f>IF(SUMIF($Q$3:$Q51,$Q51,N$3:N51)&gt;0,SUMIF($Q$3:$Q51,$Q51,N$3:N51),"")</f>
        <v>800</v>
      </c>
      <c r="P51" s="12">
        <f>IF(NOT(ISBLANK($A51)),SUM(L$3:L51)-SUM(N$3:N51),"")</f>
        <v>-1086.6000000000004</v>
      </c>
      <c r="Q51" s="4" t="s">
        <v>186</v>
      </c>
      <c r="R51" s="16" t="s">
        <v>106</v>
      </c>
      <c r="S51" s="16"/>
    </row>
    <row r="52" spans="1:19" x14ac:dyDescent="0.25">
      <c r="A52" s="7">
        <v>43068</v>
      </c>
      <c r="B52" s="3"/>
      <c r="C52" s="117" t="str">
        <f>IF(SUMIF($Q$3:$Q52,$Q52,B$3:B52)&gt;0,SUMIF($Q$3:$Q52,$Q52,B$3:B52),"")</f>
        <v/>
      </c>
      <c r="D52" s="10"/>
      <c r="E52" s="117" t="str">
        <f>IF(SUMIF($Q$3:$Q52,$Q52,D$3:D52)&gt;0,SUMIF($Q$3:$Q52,$Q52,D$3:D52),"")</f>
        <v/>
      </c>
      <c r="F52" s="12">
        <f>IF(NOT(ISBLANK($A52)),SUM(B$3:B52)-SUM(D$3:D52),"")</f>
        <v>797.699999999998</v>
      </c>
      <c r="G52" s="3"/>
      <c r="H52" s="117" t="str">
        <f>IF(SUMIF($Q$3:$Q52,$Q52,G$3:G52)&gt;0,SUMIF($Q$3:$Q52,$Q52,G$3:G52),"")</f>
        <v/>
      </c>
      <c r="I52" s="10"/>
      <c r="J52" s="117" t="str">
        <f>IF(SUMIF($Q$3:$Q52,$Q52,I$3:I52)&gt;0,SUMIF($Q$3:$Q52,$Q52,I$3:I52),"")</f>
        <v/>
      </c>
      <c r="K52" s="12">
        <f>IF(NOT(ISBLANK($A52)),SUM(G$3:G52)-SUM(I$3:I52),"")</f>
        <v>-252.27999999999997</v>
      </c>
      <c r="L52" s="3"/>
      <c r="M52" s="117" t="str">
        <f>IF(SUMIF($Q$3:$Q52,$Q52,L$3:L52)&gt;0,SUMIF($Q$3:$Q52,$Q52,L$3:L52),"")</f>
        <v/>
      </c>
      <c r="N52" s="10">
        <v>800</v>
      </c>
      <c r="O52" s="117">
        <f>IF(SUMIF($Q$3:$Q52,$Q52,N$3:N52)&gt;0,SUMIF($Q$3:$Q52,$Q52,N$3:N52),"")</f>
        <v>1600</v>
      </c>
      <c r="P52" s="12">
        <f>IF(NOT(ISBLANK($A52)),SUM(L$3:L52)-SUM(N$3:N52),"")</f>
        <v>-1886.6000000000004</v>
      </c>
      <c r="Q52" s="4" t="s">
        <v>186</v>
      </c>
      <c r="R52" s="16" t="s">
        <v>107</v>
      </c>
      <c r="S52" s="16"/>
    </row>
    <row r="53" spans="1:19" x14ac:dyDescent="0.25">
      <c r="A53" s="8">
        <v>43070</v>
      </c>
      <c r="B53" s="5">
        <v>0.62</v>
      </c>
      <c r="C53" s="118">
        <f>IF(SUMIF($Q$3:$Q53,$Q53,B$3:B53)&gt;0,SUMIF($Q$3:$Q53,$Q53,B$3:B53),"")</f>
        <v>1.3199999999999998</v>
      </c>
      <c r="D53" s="11"/>
      <c r="E53" s="118" t="str">
        <f>IF(SUMIF($Q$3:$Q53,$Q53,D$3:D53)&gt;0,SUMIF($Q$3:$Q53,$Q53,D$3:D53),"")</f>
        <v/>
      </c>
      <c r="F53" s="13">
        <f>IF(NOT(ISBLANK($A53)),SUM(B$3:B53)-SUM(D$3:D53),"")</f>
        <v>798.31999999999789</v>
      </c>
      <c r="G53" s="5"/>
      <c r="H53" s="118" t="str">
        <f>IF(SUMIF($Q$3:$Q53,$Q53,G$3:G53)&gt;0,SUMIF($Q$3:$Q53,$Q53,G$3:G53),"")</f>
        <v/>
      </c>
      <c r="I53" s="11"/>
      <c r="J53" s="118" t="str">
        <f>IF(SUMIF($Q$3:$Q53,$Q53,I$3:I53)&gt;0,SUMIF($Q$3:$Q53,$Q53,I$3:I53),"")</f>
        <v/>
      </c>
      <c r="K53" s="13">
        <f>IF(NOT(ISBLANK($A53)),SUM(G$3:G53)-SUM(I$3:I53),"")</f>
        <v>-252.27999999999997</v>
      </c>
      <c r="L53" s="5"/>
      <c r="M53" s="118" t="str">
        <f>IF(SUMIF($Q$3:$Q53,$Q53,L$3:L53)&gt;0,SUMIF($Q$3:$Q53,$Q53,L$3:L53),"")</f>
        <v/>
      </c>
      <c r="N53" s="11"/>
      <c r="O53" s="118" t="str">
        <f>IF(SUMIF($Q$3:$Q53,$Q53,N$3:N53)&gt;0,SUMIF($Q$3:$Q53,$Q53,N$3:N53),"")</f>
        <v/>
      </c>
      <c r="P53" s="13">
        <f>IF(NOT(ISBLANK($A53)),SUM(L$3:L53)-SUM(N$3:N53),"")</f>
        <v>-1886.6000000000004</v>
      </c>
      <c r="Q53" s="6" t="s">
        <v>37</v>
      </c>
      <c r="R53" s="17"/>
      <c r="S53" s="17"/>
    </row>
    <row r="54" spans="1:19" x14ac:dyDescent="0.25">
      <c r="A54" s="8">
        <v>43071</v>
      </c>
      <c r="B54" s="5"/>
      <c r="C54" s="118" t="str">
        <f>IF(SUMIF($Q$3:$Q54,$Q54,B$3:B54)&gt;0,SUMIF($Q$3:$Q54,$Q54,B$3:B54),"")</f>
        <v/>
      </c>
      <c r="D54" s="11">
        <v>252.28</v>
      </c>
      <c r="E54" s="118">
        <f>IF(SUMIF($Q$3:$Q54,$Q54,D$3:D54)&gt;0,SUMIF($Q$3:$Q54,$Q54,D$3:D54),"")</f>
        <v>2753.72</v>
      </c>
      <c r="F54" s="13">
        <f>IF(NOT(ISBLANK($A54)),SUM(B$3:B54)-SUM(D$3:D54),"")</f>
        <v>546.03999999999814</v>
      </c>
      <c r="G54" s="5">
        <v>252.28</v>
      </c>
      <c r="H54" s="118">
        <f>IF(SUMIF($Q$3:$Q54,$Q54,G$3:G54)&gt;0,SUMIF($Q$3:$Q54,$Q54,G$3:G54),"")</f>
        <v>1080.58</v>
      </c>
      <c r="I54" s="11"/>
      <c r="J54" s="118" t="str">
        <f>IF(SUMIF($Q$3:$Q54,$Q54,I$3:I54)&gt;0,SUMIF($Q$3:$Q54,$Q54,I$3:I54),"")</f>
        <v/>
      </c>
      <c r="K54" s="13">
        <f>IF(NOT(ISBLANK($A54)),SUM(G$3:G54)-SUM(I$3:I54),"")</f>
        <v>0</v>
      </c>
      <c r="L54" s="5"/>
      <c r="M54" s="118">
        <f>IF(SUMIF($Q$3:$Q54,$Q54,L$3:L54)&gt;0,SUMIF($Q$3:$Q54,$Q54,L$3:L54),"")</f>
        <v>1673.14</v>
      </c>
      <c r="N54" s="11"/>
      <c r="O54" s="118" t="str">
        <f>IF(SUMIF($Q$3:$Q54,$Q54,N$3:N54)&gt;0,SUMIF($Q$3:$Q54,$Q54,N$3:N54),"")</f>
        <v/>
      </c>
      <c r="P54" s="13">
        <f>IF(NOT(ISBLANK($A54)),SUM(L$3:L54)-SUM(N$3:N54),"")</f>
        <v>-1886.6000000000004</v>
      </c>
      <c r="Q54" s="6" t="s">
        <v>18</v>
      </c>
      <c r="R54" s="17"/>
      <c r="S54" s="17"/>
    </row>
    <row r="55" spans="1:19" x14ac:dyDescent="0.25">
      <c r="A55" s="7">
        <v>43073</v>
      </c>
      <c r="B55" s="3">
        <v>975</v>
      </c>
      <c r="C55" s="117">
        <f>IF(SUMIF($Q$3:$Q55,$Q55,B$3:B55)&gt;0,SUMIF($Q$3:$Q55,$Q55,B$3:B55),"")</f>
        <v>9075</v>
      </c>
      <c r="D55" s="10"/>
      <c r="E55" s="117" t="str">
        <f>IF(SUMIF($Q$3:$Q55,$Q55,D$3:D55)&gt;0,SUMIF($Q$3:$Q55,$Q55,D$3:D55),"")</f>
        <v/>
      </c>
      <c r="F55" s="12">
        <f>IF(NOT(ISBLANK($A55)),SUM(B$3:B55)-SUM(D$3:D55),"")</f>
        <v>1521.0399999999981</v>
      </c>
      <c r="G55" s="3"/>
      <c r="H55" s="117" t="str">
        <f>IF(SUMIF($Q$3:$Q55,$Q55,G$3:G55)&gt;0,SUMIF($Q$3:$Q55,$Q55,G$3:G55),"")</f>
        <v/>
      </c>
      <c r="I55" s="10"/>
      <c r="J55" s="117" t="str">
        <f>IF(SUMIF($Q$3:$Q55,$Q55,I$3:I55)&gt;0,SUMIF($Q$3:$Q55,$Q55,I$3:I55),"")</f>
        <v/>
      </c>
      <c r="K55" s="12">
        <f>IF(NOT(ISBLANK($A55)),SUM(G$3:G55)-SUM(I$3:I55),"")</f>
        <v>0</v>
      </c>
      <c r="L55" s="3"/>
      <c r="M55" s="117" t="str">
        <f>IF(SUMIF($Q$3:$Q55,$Q55,L$3:L55)&gt;0,SUMIF($Q$3:$Q55,$Q55,L$3:L55),"")</f>
        <v/>
      </c>
      <c r="N55" s="10"/>
      <c r="O55" s="117" t="str">
        <f>IF(SUMIF($Q$3:$Q55,$Q55,N$3:N55)&gt;0,SUMIF($Q$3:$Q55,$Q55,N$3:N55),"")</f>
        <v/>
      </c>
      <c r="P55" s="12">
        <f>IF(NOT(ISBLANK($A55)),SUM(L$3:L55)-SUM(N$3:N55),"")</f>
        <v>-1886.6000000000004</v>
      </c>
      <c r="Q55" s="4" t="s">
        <v>9</v>
      </c>
      <c r="R55" s="16"/>
      <c r="S55" s="16"/>
    </row>
    <row r="56" spans="1:19" x14ac:dyDescent="0.25">
      <c r="A56" s="7">
        <v>43073</v>
      </c>
      <c r="B56" s="3"/>
      <c r="C56" s="117" t="str">
        <f>IF(SUMIF($Q$3:$Q56,$Q56,B$3:B56)&gt;0,SUMIF($Q$3:$Q56,$Q56,B$3:B56),"")</f>
        <v/>
      </c>
      <c r="D56" s="10">
        <v>1000</v>
      </c>
      <c r="E56" s="117">
        <f>IF(SUMIF($Q$3:$Q56,$Q56,D$3:D56)&gt;0,SUMIF($Q$3:$Q56,$Q56,D$3:D56),"")</f>
        <v>3753.72</v>
      </c>
      <c r="F56" s="12">
        <f>IF(NOT(ISBLANK($A56)),SUM(B$3:B56)-SUM(D$3:D56),"")</f>
        <v>521.03999999999724</v>
      </c>
      <c r="G56" s="3"/>
      <c r="H56" s="117">
        <f>IF(SUMIF($Q$3:$Q56,$Q56,G$3:G56)&gt;0,SUMIF($Q$3:$Q56,$Q56,G$3:G56),"")</f>
        <v>1080.58</v>
      </c>
      <c r="I56" s="10"/>
      <c r="J56" s="117" t="str">
        <f>IF(SUMIF($Q$3:$Q56,$Q56,I$3:I56)&gt;0,SUMIF($Q$3:$Q56,$Q56,I$3:I56),"")</f>
        <v/>
      </c>
      <c r="K56" s="12">
        <f>IF(NOT(ISBLANK($A56)),SUM(G$3:G56)-SUM(I$3:I56),"")</f>
        <v>0</v>
      </c>
      <c r="L56" s="3">
        <v>1000</v>
      </c>
      <c r="M56" s="117">
        <f>IF(SUMIF($Q$3:$Q56,$Q56,L$3:L56)&gt;0,SUMIF($Q$3:$Q56,$Q56,L$3:L56),"")</f>
        <v>2673.1400000000003</v>
      </c>
      <c r="N56" s="10"/>
      <c r="O56" s="117" t="str">
        <f>IF(SUMIF($Q$3:$Q56,$Q56,N$3:N56)&gt;0,SUMIF($Q$3:$Q56,$Q56,N$3:N56),"")</f>
        <v/>
      </c>
      <c r="P56" s="12">
        <f>IF(NOT(ISBLANK($A56)),SUM(L$3:L56)-SUM(N$3:N56),"")</f>
        <v>-886.60000000000036</v>
      </c>
      <c r="Q56" s="4" t="s">
        <v>18</v>
      </c>
      <c r="R56" s="16"/>
      <c r="S56" s="16"/>
    </row>
    <row r="57" spans="1:19" x14ac:dyDescent="0.25">
      <c r="A57" s="8">
        <v>43073</v>
      </c>
      <c r="B57" s="5"/>
      <c r="C57" s="118" t="str">
        <f>IF(SUMIF($Q$3:$Q57,$Q57,B$3:B57)&gt;0,SUMIF($Q$3:$Q57,$Q57,B$3:B57),"")</f>
        <v/>
      </c>
      <c r="D57" s="11"/>
      <c r="E57" s="118" t="str">
        <f>IF(SUMIF($Q$3:$Q57,$Q57,D$3:D57)&gt;0,SUMIF($Q$3:$Q57,$Q57,D$3:D57),"")</f>
        <v/>
      </c>
      <c r="F57" s="13">
        <f>IF(NOT(ISBLANK($A57)),SUM(B$3:B57)-SUM(D$3:D57),"")</f>
        <v>521.03999999999724</v>
      </c>
      <c r="G57" s="5"/>
      <c r="H57" s="118" t="str">
        <f>IF(SUMIF($Q$3:$Q57,$Q57,G$3:G57)&gt;0,SUMIF($Q$3:$Q57,$Q57,G$3:G57),"")</f>
        <v/>
      </c>
      <c r="I57" s="11">
        <v>67.290000000000006</v>
      </c>
      <c r="J57" s="118">
        <f>IF(SUMIF($Q$3:$Q57,$Q57,I$3:I57)&gt;0,SUMIF($Q$3:$Q57,$Q57,I$3:I57),"")</f>
        <v>67.290000000000006</v>
      </c>
      <c r="K57" s="13">
        <f>IF(NOT(ISBLANK($A57)),SUM(G$3:G57)-SUM(I$3:I57),"")</f>
        <v>-67.289999999999964</v>
      </c>
      <c r="L57" s="5"/>
      <c r="M57" s="118" t="str">
        <f>IF(SUMIF($Q$3:$Q57,$Q57,L$3:L57)&gt;0,SUMIF($Q$3:$Q57,$Q57,L$3:L57),"")</f>
        <v/>
      </c>
      <c r="N57" s="11"/>
      <c r="O57" s="118" t="str">
        <f>IF(SUMIF($Q$3:$Q57,$Q57,N$3:N57)&gt;0,SUMIF($Q$3:$Q57,$Q57,N$3:N57),"")</f>
        <v/>
      </c>
      <c r="P57" s="13">
        <f>IF(NOT(ISBLANK($A57)),SUM(L$3:L57)-SUM(N$3:N57),"")</f>
        <v>-886.60000000000036</v>
      </c>
      <c r="Q57" s="6" t="s">
        <v>189</v>
      </c>
      <c r="R57" s="17" t="s">
        <v>190</v>
      </c>
      <c r="S57" s="17"/>
    </row>
    <row r="58" spans="1:19" x14ac:dyDescent="0.25">
      <c r="A58" s="8">
        <v>43073</v>
      </c>
      <c r="B58" s="5"/>
      <c r="C58" s="118" t="str">
        <f>IF(SUMIF($Q$3:$Q58,$Q58,B$3:B58)&gt;0,SUMIF($Q$3:$Q58,$Q58,B$3:B58),"")</f>
        <v/>
      </c>
      <c r="D58" s="11"/>
      <c r="E58" s="118" t="str">
        <f>IF(SUMIF($Q$3:$Q58,$Q58,D$3:D58)&gt;0,SUMIF($Q$3:$Q58,$Q58,D$3:D58),"")</f>
        <v/>
      </c>
      <c r="F58" s="13">
        <f>IF(NOT(ISBLANK($A58)),SUM(B$3:B58)-SUM(D$3:D58),"")</f>
        <v>521.03999999999724</v>
      </c>
      <c r="G58" s="5"/>
      <c r="H58" s="118" t="str">
        <f>IF(SUMIF($Q$3:$Q58,$Q58,G$3:G58)&gt;0,SUMIF($Q$3:$Q58,$Q58,G$3:G58),"")</f>
        <v/>
      </c>
      <c r="I58" s="11">
        <v>22.24</v>
      </c>
      <c r="J58" s="118">
        <f>IF(SUMIF($Q$3:$Q58,$Q58,I$3:I58)&gt;0,SUMIF($Q$3:$Q58,$Q58,I$3:I58),"")</f>
        <v>89.53</v>
      </c>
      <c r="K58" s="13">
        <f>IF(NOT(ISBLANK($A58)),SUM(G$3:G58)-SUM(I$3:I58),"")</f>
        <v>-89.529999999999973</v>
      </c>
      <c r="L58" s="5"/>
      <c r="M58" s="118" t="str">
        <f>IF(SUMIF($Q$3:$Q58,$Q58,L$3:L58)&gt;0,SUMIF($Q$3:$Q58,$Q58,L$3:L58),"")</f>
        <v/>
      </c>
      <c r="N58" s="11"/>
      <c r="O58" s="118" t="str">
        <f>IF(SUMIF($Q$3:$Q58,$Q58,N$3:N58)&gt;0,SUMIF($Q$3:$Q58,$Q58,N$3:N58),"")</f>
        <v/>
      </c>
      <c r="P58" s="13">
        <f>IF(NOT(ISBLANK($A58)),SUM(L$3:L58)-SUM(N$3:N58),"")</f>
        <v>-886.60000000000036</v>
      </c>
      <c r="Q58" s="6" t="s">
        <v>189</v>
      </c>
      <c r="R58" s="17" t="s">
        <v>190</v>
      </c>
      <c r="S58" s="17"/>
    </row>
    <row r="59" spans="1:19" x14ac:dyDescent="0.25">
      <c r="A59" s="7">
        <v>43073</v>
      </c>
      <c r="B59" s="3"/>
      <c r="C59" s="117" t="str">
        <f>IF(SUMIF($Q$3:$Q59,$Q59,B$3:B59)&gt;0,SUMIF($Q$3:$Q59,$Q59,B$3:B59),"")</f>
        <v/>
      </c>
      <c r="D59" s="10">
        <v>67.290000000000006</v>
      </c>
      <c r="E59" s="117">
        <f>IF(SUMIF($Q$3:$Q59,$Q59,D$3:D59)&gt;0,SUMIF($Q$3:$Q59,$Q59,D$3:D59),"")</f>
        <v>3821.0099999999998</v>
      </c>
      <c r="F59" s="12">
        <f>IF(NOT(ISBLANK($A59)),SUM(B$3:B59)-SUM(D$3:D59),"")</f>
        <v>453.74999999999636</v>
      </c>
      <c r="G59" s="3">
        <v>67.290000000000006</v>
      </c>
      <c r="H59" s="117">
        <f>IF(SUMIF($Q$3:$Q59,$Q59,G$3:G59)&gt;0,SUMIF($Q$3:$Q59,$Q59,G$3:G59),"")</f>
        <v>1147.8699999999999</v>
      </c>
      <c r="I59" s="10"/>
      <c r="J59" s="117" t="str">
        <f>IF(SUMIF($Q$3:$Q59,$Q59,I$3:I59)&gt;0,SUMIF($Q$3:$Q59,$Q59,I$3:I59),"")</f>
        <v/>
      </c>
      <c r="K59" s="12">
        <f>IF(NOT(ISBLANK($A59)),SUM(G$3:G59)-SUM(I$3:I59),"")</f>
        <v>-22.240000000000009</v>
      </c>
      <c r="L59" s="3"/>
      <c r="M59" s="117">
        <f>IF(SUMIF($Q$3:$Q59,$Q59,L$3:L59)&gt;0,SUMIF($Q$3:$Q59,$Q59,L$3:L59),"")</f>
        <v>2673.1400000000003</v>
      </c>
      <c r="N59" s="10"/>
      <c r="O59" s="117" t="str">
        <f>IF(SUMIF($Q$3:$Q59,$Q59,N$3:N59)&gt;0,SUMIF($Q$3:$Q59,$Q59,N$3:N59),"")</f>
        <v/>
      </c>
      <c r="P59" s="12">
        <f>IF(NOT(ISBLANK($A59)),SUM(L$3:L59)-SUM(N$3:N59),"")</f>
        <v>-886.60000000000036</v>
      </c>
      <c r="Q59" s="4" t="s">
        <v>18</v>
      </c>
      <c r="R59" s="16"/>
      <c r="S59" s="16"/>
    </row>
    <row r="60" spans="1:19" x14ac:dyDescent="0.25">
      <c r="A60" s="7">
        <v>43073</v>
      </c>
      <c r="B60" s="3"/>
      <c r="C60" s="117" t="str">
        <f>IF(SUMIF($Q$3:$Q60,$Q60,B$3:B60)&gt;0,SUMIF($Q$3:$Q60,$Q60,B$3:B60),"")</f>
        <v/>
      </c>
      <c r="D60" s="10">
        <v>22.4</v>
      </c>
      <c r="E60" s="117">
        <f>IF(SUMIF($Q$3:$Q60,$Q60,D$3:D60)&gt;0,SUMIF($Q$3:$Q60,$Q60,D$3:D60),"")</f>
        <v>3843.41</v>
      </c>
      <c r="F60" s="12">
        <f>IF(NOT(ISBLANK($A60)),SUM(B$3:B60)-SUM(D$3:D60),"")</f>
        <v>431.34999999999673</v>
      </c>
      <c r="G60" s="3">
        <v>22.4</v>
      </c>
      <c r="H60" s="117">
        <f>IF(SUMIF($Q$3:$Q60,$Q60,G$3:G60)&gt;0,SUMIF($Q$3:$Q60,$Q60,G$3:G60),"")</f>
        <v>1170.27</v>
      </c>
      <c r="I60" s="10"/>
      <c r="J60" s="117" t="str">
        <f>IF(SUMIF($Q$3:$Q60,$Q60,I$3:I60)&gt;0,SUMIF($Q$3:$Q60,$Q60,I$3:I60),"")</f>
        <v/>
      </c>
      <c r="K60" s="12">
        <f>IF(NOT(ISBLANK($A60)),SUM(G$3:G60)-SUM(I$3:I60),"")</f>
        <v>0.16000000000008185</v>
      </c>
      <c r="L60" s="3"/>
      <c r="M60" s="117">
        <f>IF(SUMIF($Q$3:$Q60,$Q60,L$3:L60)&gt;0,SUMIF($Q$3:$Q60,$Q60,L$3:L60),"")</f>
        <v>2673.1400000000003</v>
      </c>
      <c r="N60" s="10"/>
      <c r="O60" s="117" t="str">
        <f>IF(SUMIF($Q$3:$Q60,$Q60,N$3:N60)&gt;0,SUMIF($Q$3:$Q60,$Q60,N$3:N60),"")</f>
        <v/>
      </c>
      <c r="P60" s="12">
        <f>IF(NOT(ISBLANK($A60)),SUM(L$3:L60)-SUM(N$3:N60),"")</f>
        <v>-886.60000000000036</v>
      </c>
      <c r="Q60" s="4" t="s">
        <v>18</v>
      </c>
      <c r="R60" s="16" t="s">
        <v>191</v>
      </c>
      <c r="S60" s="16"/>
    </row>
    <row r="61" spans="1:19" x14ac:dyDescent="0.25">
      <c r="A61" s="8">
        <v>43073</v>
      </c>
      <c r="B61" s="5"/>
      <c r="C61" s="118" t="str">
        <f>IF(SUMIF($Q$3:$Q61,$Q61,B$3:B61)&gt;0,SUMIF($Q$3:$Q61,$Q61,B$3:B61),"")</f>
        <v/>
      </c>
      <c r="D61" s="11">
        <v>70.25</v>
      </c>
      <c r="E61" s="118">
        <f>IF(SUMIF($Q$3:$Q61,$Q61,D$3:D61)&gt;0,SUMIF($Q$3:$Q61,$Q61,D$3:D61),"")</f>
        <v>3913.66</v>
      </c>
      <c r="F61" s="13">
        <f>IF(NOT(ISBLANK($A61)),SUM(B$3:B61)-SUM(D$3:D61),"")</f>
        <v>361.09999999999673</v>
      </c>
      <c r="G61" s="5"/>
      <c r="H61" s="118">
        <f>IF(SUMIF($Q$3:$Q61,$Q61,G$3:G61)&gt;0,SUMIF($Q$3:$Q61,$Q61,G$3:G61),"")</f>
        <v>1170.27</v>
      </c>
      <c r="I61" s="11"/>
      <c r="J61" s="118" t="str">
        <f>IF(SUMIF($Q$3:$Q61,$Q61,I$3:I61)&gt;0,SUMIF($Q$3:$Q61,$Q61,I$3:I61),"")</f>
        <v/>
      </c>
      <c r="K61" s="13">
        <f>IF(NOT(ISBLANK($A61)),SUM(G$3:G61)-SUM(I$3:I61),"")</f>
        <v>0.16000000000008185</v>
      </c>
      <c r="L61" s="5"/>
      <c r="M61" s="118">
        <f>IF(SUMIF($Q$3:$Q61,$Q61,L$3:L61)&gt;0,SUMIF($Q$3:$Q61,$Q61,L$3:L61),"")</f>
        <v>2673.1400000000003</v>
      </c>
      <c r="N61" s="11"/>
      <c r="O61" s="118" t="str">
        <f>IF(SUMIF($Q$3:$Q61,$Q61,N$3:N61)&gt;0,SUMIF($Q$3:$Q61,$Q61,N$3:N61),"")</f>
        <v/>
      </c>
      <c r="P61" s="13">
        <f>IF(NOT(ISBLANK($A61)),SUM(L$3:L61)-SUM(N$3:N61),"")</f>
        <v>-886.60000000000036</v>
      </c>
      <c r="Q61" s="6" t="s">
        <v>18</v>
      </c>
      <c r="R61" s="17" t="s">
        <v>194</v>
      </c>
      <c r="S61" s="17"/>
    </row>
    <row r="62" spans="1:19" x14ac:dyDescent="0.25">
      <c r="A62" s="8">
        <v>43071</v>
      </c>
      <c r="B62" s="5"/>
      <c r="C62" s="118" t="str">
        <f>IF(SUMIF($Q$3:$Q62,$Q62,B$3:B62)&gt;0,SUMIF($Q$3:$Q62,$Q62,B$3:B62),"")</f>
        <v/>
      </c>
      <c r="D62" s="11"/>
      <c r="E62" s="118" t="str">
        <f>IF(SUMIF($Q$3:$Q62,$Q62,D$3:D62)&gt;0,SUMIF($Q$3:$Q62,$Q62,D$3:D62),"")</f>
        <v/>
      </c>
      <c r="F62" s="13">
        <f>IF(NOT(ISBLANK($A62)),SUM(B$3:B62)-SUM(D$3:D62),"")</f>
        <v>361.09999999999673</v>
      </c>
      <c r="G62" s="5"/>
      <c r="H62" s="118" t="str">
        <f>IF(SUMIF($Q$3:$Q62,$Q62,G$3:G62)&gt;0,SUMIF($Q$3:$Q62,$Q62,G$3:G62),"")</f>
        <v/>
      </c>
      <c r="I62" s="11"/>
      <c r="J62" s="118">
        <f>IF(SUMIF($Q$3:$Q62,$Q62,I$3:I62)&gt;0,SUMIF($Q$3:$Q62,$Q62,I$3:I62),"")</f>
        <v>89.53</v>
      </c>
      <c r="K62" s="13">
        <f>IF(NOT(ISBLANK($A62)),SUM(G$3:G62)-SUM(I$3:I62),"")</f>
        <v>0.16000000000008185</v>
      </c>
      <c r="L62" s="5"/>
      <c r="M62" s="118" t="str">
        <f>IF(SUMIF($Q$3:$Q62,$Q62,L$3:L62)&gt;0,SUMIF($Q$3:$Q62,$Q62,L$3:L62),"")</f>
        <v/>
      </c>
      <c r="N62" s="11"/>
      <c r="O62" s="118" t="str">
        <f>IF(SUMIF($Q$3:$Q62,$Q62,N$3:N62)&gt;0,SUMIF($Q$3:$Q62,$Q62,N$3:N62),"")</f>
        <v/>
      </c>
      <c r="P62" s="13">
        <f>IF(NOT(ISBLANK($A62)),SUM(L$3:L62)-SUM(N$3:N62),"")</f>
        <v>-886.60000000000036</v>
      </c>
      <c r="Q62" s="6" t="s">
        <v>189</v>
      </c>
      <c r="R62" s="17" t="s">
        <v>190</v>
      </c>
      <c r="S62" s="17"/>
    </row>
    <row r="63" spans="1:19" x14ac:dyDescent="0.25">
      <c r="A63" s="7">
        <v>43076</v>
      </c>
      <c r="B63" s="3"/>
      <c r="C63" s="117" t="str">
        <f>IF(SUMIF($Q$3:$Q63,$Q63,B$3:B63)&gt;0,SUMIF($Q$3:$Q63,$Q63,B$3:B63),"")</f>
        <v/>
      </c>
      <c r="D63" s="10"/>
      <c r="E63" s="117" t="str">
        <f>IF(SUMIF($Q$3:$Q63,$Q63,D$3:D63)&gt;0,SUMIF($Q$3:$Q63,$Q63,D$3:D63),"")</f>
        <v/>
      </c>
      <c r="F63" s="12">
        <f>IF(NOT(ISBLANK($A63)),SUM(B$3:B63)-SUM(D$3:D63),"")</f>
        <v>361.09999999999673</v>
      </c>
      <c r="G63" s="3"/>
      <c r="H63" s="117" t="str">
        <f>IF(SUMIF($Q$3:$Q63,$Q63,G$3:G63)&gt;0,SUMIF($Q$3:$Q63,$Q63,G$3:G63),"")</f>
        <v/>
      </c>
      <c r="I63" s="10">
        <v>7.98</v>
      </c>
      <c r="J63" s="117">
        <f>IF(SUMIF($Q$3:$Q63,$Q63,I$3:I63)&gt;0,SUMIF($Q$3:$Q63,$Q63,I$3:I63),"")</f>
        <v>97.51</v>
      </c>
      <c r="K63" s="12">
        <f>IF(NOT(ISBLANK($A63)),SUM(G$3:G63)-SUM(I$3:I63),"")</f>
        <v>-7.8199999999999363</v>
      </c>
      <c r="L63" s="3"/>
      <c r="M63" s="117" t="str">
        <f>IF(SUMIF($Q$3:$Q63,$Q63,L$3:L63)&gt;0,SUMIF($Q$3:$Q63,$Q63,L$3:L63),"")</f>
        <v/>
      </c>
      <c r="N63" s="10"/>
      <c r="O63" s="117" t="str">
        <f>IF(SUMIF($Q$3:$Q63,$Q63,N$3:N63)&gt;0,SUMIF($Q$3:$Q63,$Q63,N$3:N63),"")</f>
        <v/>
      </c>
      <c r="P63" s="12">
        <f>IF(NOT(ISBLANK($A63)),SUM(L$3:L63)-SUM(N$3:N63),"")</f>
        <v>-886.60000000000036</v>
      </c>
      <c r="Q63" s="4" t="s">
        <v>189</v>
      </c>
      <c r="R63" s="16" t="s">
        <v>190</v>
      </c>
      <c r="S63" s="16"/>
    </row>
    <row r="64" spans="1:19" x14ac:dyDescent="0.25">
      <c r="A64" s="7">
        <v>43076</v>
      </c>
      <c r="B64" s="3"/>
      <c r="C64" s="117" t="str">
        <f>IF(SUMIF($Q$3:$Q64,$Q64,B$3:B64)&gt;0,SUMIF($Q$3:$Q64,$Q64,B$3:B64),"")</f>
        <v/>
      </c>
      <c r="D64" s="10"/>
      <c r="E64" s="117" t="str">
        <f>IF(SUMIF($Q$3:$Q64,$Q64,D$3:D64)&gt;0,SUMIF($Q$3:$Q64,$Q64,D$3:D64),"")</f>
        <v/>
      </c>
      <c r="F64" s="12">
        <f>IF(NOT(ISBLANK($A64)),SUM(B$3:B64)-SUM(D$3:D64),"")</f>
        <v>361.09999999999673</v>
      </c>
      <c r="G64" s="3"/>
      <c r="H64" s="117" t="str">
        <f>IF(SUMIF($Q$3:$Q64,$Q64,G$3:G64)&gt;0,SUMIF($Q$3:$Q64,$Q64,G$3:G64),"")</f>
        <v/>
      </c>
      <c r="I64" s="10">
        <v>500.14</v>
      </c>
      <c r="J64" s="117">
        <f>IF(SUMIF($Q$3:$Q64,$Q64,I$3:I64)&gt;0,SUMIF($Q$3:$Q64,$Q64,I$3:I64),"")</f>
        <v>597.65</v>
      </c>
      <c r="K64" s="12">
        <f>IF(NOT(ISBLANK($A64)),SUM(G$3:G64)-SUM(I$3:I64),"")</f>
        <v>-507.96000000000004</v>
      </c>
      <c r="L64" s="3"/>
      <c r="M64" s="117" t="str">
        <f>IF(SUMIF($Q$3:$Q64,$Q64,L$3:L64)&gt;0,SUMIF($Q$3:$Q64,$Q64,L$3:L64),"")</f>
        <v/>
      </c>
      <c r="N64" s="10"/>
      <c r="O64" s="117" t="str">
        <f>IF(SUMIF($Q$3:$Q64,$Q64,N$3:N64)&gt;0,SUMIF($Q$3:$Q64,$Q64,N$3:N64),"")</f>
        <v/>
      </c>
      <c r="P64" s="12">
        <f>IF(NOT(ISBLANK($A64)),SUM(L$3:L64)-SUM(N$3:N64),"")</f>
        <v>-886.60000000000036</v>
      </c>
      <c r="Q64" s="4" t="s">
        <v>189</v>
      </c>
      <c r="R64" s="16" t="s">
        <v>190</v>
      </c>
      <c r="S64" s="16"/>
    </row>
    <row r="65" spans="1:19" x14ac:dyDescent="0.25">
      <c r="A65" s="8">
        <v>43079</v>
      </c>
      <c r="B65" s="5"/>
      <c r="C65" s="118" t="str">
        <f>IF(SUMIF($Q$3:$Q65,$Q65,B$3:B65)&gt;0,SUMIF($Q$3:$Q65,$Q65,B$3:B65),"")</f>
        <v/>
      </c>
      <c r="D65" s="11"/>
      <c r="E65" s="118" t="str">
        <f>IF(SUMIF($Q$3:$Q65,$Q65,D$3:D65)&gt;0,SUMIF($Q$3:$Q65,$Q65,D$3:D65),"")</f>
        <v/>
      </c>
      <c r="F65" s="13">
        <f>IF(NOT(ISBLANK($A65)),SUM(B$3:B65)-SUM(D$3:D65),"")</f>
        <v>361.09999999999673</v>
      </c>
      <c r="G65" s="5"/>
      <c r="H65" s="118" t="str">
        <f>IF(SUMIF($Q$3:$Q65,$Q65,G$3:G65)&gt;0,SUMIF($Q$3:$Q65,$Q65,G$3:G65),"")</f>
        <v/>
      </c>
      <c r="I65" s="11">
        <v>84.21</v>
      </c>
      <c r="J65" s="118">
        <f>IF(SUMIF($Q$3:$Q65,$Q65,I$3:I65)&gt;0,SUMIF($Q$3:$Q65,$Q65,I$3:I65),"")</f>
        <v>681.86</v>
      </c>
      <c r="K65" s="13">
        <f>IF(NOT(ISBLANK($A65)),SUM(G$3:G65)-SUM(I$3:I65),"")</f>
        <v>-592.17000000000007</v>
      </c>
      <c r="L65" s="5"/>
      <c r="M65" s="118" t="str">
        <f>IF(SUMIF($Q$3:$Q65,$Q65,L$3:L65)&gt;0,SUMIF($Q$3:$Q65,$Q65,L$3:L65),"")</f>
        <v/>
      </c>
      <c r="N65" s="11"/>
      <c r="O65" s="118" t="str">
        <f>IF(SUMIF($Q$3:$Q65,$Q65,N$3:N65)&gt;0,SUMIF($Q$3:$Q65,$Q65,N$3:N65),"")</f>
        <v/>
      </c>
      <c r="P65" s="13">
        <f>IF(NOT(ISBLANK($A65)),SUM(L$3:L65)-SUM(N$3:N65),"")</f>
        <v>-886.60000000000036</v>
      </c>
      <c r="Q65" s="6" t="s">
        <v>189</v>
      </c>
      <c r="R65" s="17" t="s">
        <v>190</v>
      </c>
      <c r="S65" s="17"/>
    </row>
    <row r="66" spans="1:19" x14ac:dyDescent="0.25">
      <c r="A66" s="8">
        <v>43079</v>
      </c>
      <c r="B66" s="5"/>
      <c r="C66" s="118" t="str">
        <f>IF(SUMIF($Q$3:$Q66,$Q66,B$3:B66)&gt;0,SUMIF($Q$3:$Q66,$Q66,B$3:B66),"")</f>
        <v/>
      </c>
      <c r="D66" s="11"/>
      <c r="E66" s="118" t="str">
        <f>IF(SUMIF($Q$3:$Q66,$Q66,D$3:D66)&gt;0,SUMIF($Q$3:$Q66,$Q66,D$3:D66),"")</f>
        <v/>
      </c>
      <c r="F66" s="13">
        <f>IF(NOT(ISBLANK($A66)),SUM(B$3:B66)-SUM(D$3:D66),"")</f>
        <v>361.09999999999673</v>
      </c>
      <c r="G66" s="5"/>
      <c r="H66" s="118" t="str">
        <f>IF(SUMIF($Q$3:$Q66,$Q66,G$3:G66)&gt;0,SUMIF($Q$3:$Q66,$Q66,G$3:G66),"")</f>
        <v/>
      </c>
      <c r="I66" s="11">
        <v>8.06</v>
      </c>
      <c r="J66" s="118">
        <f>IF(SUMIF($Q$3:$Q66,$Q66,I$3:I66)&gt;0,SUMIF($Q$3:$Q66,$Q66,I$3:I66),"")</f>
        <v>689.92</v>
      </c>
      <c r="K66" s="13">
        <f>IF(NOT(ISBLANK($A66)),SUM(G$3:G66)-SUM(I$3:I66),"")</f>
        <v>-600.23</v>
      </c>
      <c r="L66" s="5"/>
      <c r="M66" s="118" t="str">
        <f>IF(SUMIF($Q$3:$Q66,$Q66,L$3:L66)&gt;0,SUMIF($Q$3:$Q66,$Q66,L$3:L66),"")</f>
        <v/>
      </c>
      <c r="N66" s="11"/>
      <c r="O66" s="118" t="str">
        <f>IF(SUMIF($Q$3:$Q66,$Q66,N$3:N66)&gt;0,SUMIF($Q$3:$Q66,$Q66,N$3:N66),"")</f>
        <v/>
      </c>
      <c r="P66" s="13">
        <f>IF(NOT(ISBLANK($A66)),SUM(L$3:L66)-SUM(N$3:N66),"")</f>
        <v>-886.60000000000036</v>
      </c>
      <c r="Q66" s="6" t="s">
        <v>189</v>
      </c>
      <c r="R66" s="17" t="s">
        <v>190</v>
      </c>
      <c r="S66" s="17"/>
    </row>
    <row r="67" spans="1:19" x14ac:dyDescent="0.25">
      <c r="A67" s="7">
        <v>43080</v>
      </c>
      <c r="B67" s="3"/>
      <c r="C67" s="117" t="str">
        <f>IF(SUMIF($Q$3:$Q67,$Q67,B$3:B67)&gt;0,SUMIF($Q$3:$Q67,$Q67,B$3:B67),"")</f>
        <v/>
      </c>
      <c r="D67" s="10">
        <f>59.97*1.14975</f>
        <v>68.950507500000001</v>
      </c>
      <c r="E67" s="117">
        <f>IF(SUMIF($Q$3:$Q67,$Q67,D$3:D67)&gt;0,SUMIF($Q$3:$Q67,$Q67,D$3:D67),"")</f>
        <v>68.950507500000001</v>
      </c>
      <c r="F67" s="12">
        <f>IF(NOT(ISBLANK($A67)),SUM(B$3:B67)-SUM(D$3:D67),"")</f>
        <v>292.149492499997</v>
      </c>
      <c r="G67" s="3"/>
      <c r="H67" s="117" t="str">
        <f>IF(SUMIF($Q$3:$Q67,$Q67,G$3:G67)&gt;0,SUMIF($Q$3:$Q67,$Q67,G$3:G67),"")</f>
        <v/>
      </c>
      <c r="I67" s="10"/>
      <c r="J67" s="117">
        <f>IF(SUMIF($Q$3:$Q67,$Q67,I$3:I67)&gt;0,SUMIF($Q$3:$Q67,$Q67,I$3:I67),"")</f>
        <v>681.15000000000009</v>
      </c>
      <c r="K67" s="12">
        <f>IF(NOT(ISBLANK($A67)),SUM(G$3:G67)-SUM(I$3:I67),"")</f>
        <v>-600.23</v>
      </c>
      <c r="L67" s="3"/>
      <c r="M67" s="117" t="str">
        <f>IF(SUMIF($Q$3:$Q67,$Q67,L$3:L67)&gt;0,SUMIF($Q$3:$Q67,$Q67,L$3:L67),"")</f>
        <v/>
      </c>
      <c r="N67" s="10"/>
      <c r="O67" s="117" t="str">
        <f>IF(SUMIF($Q$3:$Q67,$Q67,N$3:N67)&gt;0,SUMIF($Q$3:$Q67,$Q67,N$3:N67),"")</f>
        <v/>
      </c>
      <c r="P67" s="12">
        <f>IF(NOT(ISBLANK($A67)),SUM(L$3:L67)-SUM(N$3:N67),"")</f>
        <v>-886.60000000000036</v>
      </c>
      <c r="Q67" s="4" t="s">
        <v>53</v>
      </c>
      <c r="R67" s="16" t="s">
        <v>237</v>
      </c>
      <c r="S67" s="16"/>
    </row>
    <row r="68" spans="1:19" x14ac:dyDescent="0.25">
      <c r="A68" s="7">
        <v>43081</v>
      </c>
      <c r="B68" s="3"/>
      <c r="C68" s="117" t="str">
        <f>IF(SUMIF($Q$3:$Q68,$Q68,B$3:B68)&gt;0,SUMIF($Q$3:$Q68,$Q68,B$3:B68),"")</f>
        <v/>
      </c>
      <c r="D68" s="10">
        <v>80</v>
      </c>
      <c r="E68" s="117">
        <f>IF(SUMIF($Q$3:$Q68,$Q68,D$3:D68)&gt;0,SUMIF($Q$3:$Q68,$Q68,D$3:D68),"")</f>
        <v>3993.66</v>
      </c>
      <c r="F68" s="12">
        <f>IF(NOT(ISBLANK($A68)),SUM(B$3:B68)-SUM(D$3:D68),"")</f>
        <v>212.149492499997</v>
      </c>
      <c r="G68" s="3"/>
      <c r="H68" s="117">
        <f>IF(SUMIF($Q$3:$Q68,$Q68,G$3:G68)&gt;0,SUMIF($Q$3:$Q68,$Q68,G$3:G68),"")</f>
        <v>1170.27</v>
      </c>
      <c r="I68" s="10"/>
      <c r="J68" s="117" t="str">
        <f>IF(SUMIF($Q$3:$Q68,$Q68,I$3:I68)&gt;0,SUMIF($Q$3:$Q68,$Q68,I$3:I68),"")</f>
        <v/>
      </c>
      <c r="K68" s="12">
        <f>IF(NOT(ISBLANK($A68)),SUM(G$3:G68)-SUM(I$3:I68),"")</f>
        <v>-600.23</v>
      </c>
      <c r="L68" s="3"/>
      <c r="M68" s="117">
        <f>IF(SUMIF($Q$3:$Q68,$Q68,L$3:L68)&gt;0,SUMIF($Q$3:$Q68,$Q68,L$3:L68),"")</f>
        <v>2673.1400000000003</v>
      </c>
      <c r="N68" s="10"/>
      <c r="O68" s="117" t="str">
        <f>IF(SUMIF($Q$3:$Q68,$Q68,N$3:N68)&gt;0,SUMIF($Q$3:$Q68,$Q68,N$3:N68),"")</f>
        <v/>
      </c>
      <c r="P68" s="12">
        <f>IF(NOT(ISBLANK($A68)),SUM(L$3:L68)-SUM(N$3:N68),"")</f>
        <v>-886.60000000000036</v>
      </c>
      <c r="Q68" s="6" t="s">
        <v>18</v>
      </c>
      <c r="R68" s="17" t="s">
        <v>194</v>
      </c>
      <c r="S68" s="17"/>
    </row>
    <row r="69" spans="1:19" x14ac:dyDescent="0.25">
      <c r="A69" s="8">
        <v>43081</v>
      </c>
      <c r="B69" s="5"/>
      <c r="C69" s="118" t="str">
        <f>IF(SUMIF($Q$3:$Q69,$Q69,B$3:B69)&gt;0,SUMIF($Q$3:$Q69,$Q69,B$3:B69),"")</f>
        <v/>
      </c>
      <c r="D69" s="11">
        <v>26.4</v>
      </c>
      <c r="E69" s="118">
        <f>IF(SUMIF($Q$3:$Q69,$Q69,D$3:D69)&gt;0,SUMIF($Q$3:$Q69,$Q69,D$3:D69),"")</f>
        <v>26.4</v>
      </c>
      <c r="F69" s="13">
        <f>IF(NOT(ISBLANK($A69)),SUM(B$3:B69)-SUM(D$3:D69),"")</f>
        <v>185.74949249999736</v>
      </c>
      <c r="G69" s="5"/>
      <c r="H69" s="118" t="str">
        <f>IF(SUMIF($Q$3:$Q69,$Q69,G$3:G69)&gt;0,SUMIF($Q$3:$Q69,$Q69,G$3:G69),"")</f>
        <v/>
      </c>
      <c r="I69" s="11"/>
      <c r="J69" s="118">
        <f>IF(SUMIF($Q$3:$Q69,$Q69,I$3:I69)&gt;0,SUMIF($Q$3:$Q69,$Q69,I$3:I69),"")</f>
        <v>129</v>
      </c>
      <c r="K69" s="13">
        <f>IF(NOT(ISBLANK($A69)),SUM(G$3:G69)-SUM(I$3:I69),"")</f>
        <v>-600.23</v>
      </c>
      <c r="L69" s="5"/>
      <c r="M69" s="118" t="str">
        <f>IF(SUMIF($Q$3:$Q69,$Q69,L$3:L69)&gt;0,SUMIF($Q$3:$Q69,$Q69,L$3:L69),"")</f>
        <v/>
      </c>
      <c r="N69" s="11"/>
      <c r="O69" s="118" t="str">
        <f>IF(SUMIF($Q$3:$Q69,$Q69,N$3:N69)&gt;0,SUMIF($Q$3:$Q69,$Q69,N$3:N69),"")</f>
        <v/>
      </c>
      <c r="P69" s="13">
        <f>IF(NOT(ISBLANK($A69)),SUM(L$3:L69)-SUM(N$3:N69),"")</f>
        <v>-886.60000000000036</v>
      </c>
      <c r="Q69" s="6" t="s">
        <v>95</v>
      </c>
      <c r="R69" s="17"/>
      <c r="S69" s="17"/>
    </row>
    <row r="70" spans="1:19" x14ac:dyDescent="0.25">
      <c r="A70" s="8">
        <v>43087</v>
      </c>
      <c r="B70" s="5">
        <v>975</v>
      </c>
      <c r="C70" s="118">
        <f>IF(SUMIF($Q$3:$Q70,$Q70,B$3:B70)&gt;0,SUMIF($Q$3:$Q70,$Q70,B$3:B70),"")</f>
        <v>10050</v>
      </c>
      <c r="D70" s="11"/>
      <c r="E70" s="118" t="str">
        <f>IF(SUMIF($Q$3:$Q70,$Q70,D$3:D70)&gt;0,SUMIF($Q$3:$Q70,$Q70,D$3:D70),"")</f>
        <v/>
      </c>
      <c r="F70" s="13">
        <f>IF(NOT(ISBLANK($A70)),SUM(B$3:B70)-SUM(D$3:D70),"")</f>
        <v>1160.7494924999974</v>
      </c>
      <c r="G70" s="5"/>
      <c r="H70" s="118" t="str">
        <f>IF(SUMIF($Q$3:$Q70,$Q70,G$3:G70)&gt;0,SUMIF($Q$3:$Q70,$Q70,G$3:G70),"")</f>
        <v/>
      </c>
      <c r="I70" s="11"/>
      <c r="J70" s="118" t="str">
        <f>IF(SUMIF($Q$3:$Q70,$Q70,I$3:I70)&gt;0,SUMIF($Q$3:$Q70,$Q70,I$3:I70),"")</f>
        <v/>
      </c>
      <c r="K70" s="13">
        <f>IF(NOT(ISBLANK($A70)),SUM(G$3:G70)-SUM(I$3:I70),"")</f>
        <v>-600.23</v>
      </c>
      <c r="L70" s="5"/>
      <c r="M70" s="118" t="str">
        <f>IF(SUMIF($Q$3:$Q70,$Q70,L$3:L70)&gt;0,SUMIF($Q$3:$Q70,$Q70,L$3:L70),"")</f>
        <v/>
      </c>
      <c r="N70" s="11"/>
      <c r="O70" s="118" t="str">
        <f>IF(SUMIF($Q$3:$Q70,$Q70,N$3:N70)&gt;0,SUMIF($Q$3:$Q70,$Q70,N$3:N70),"")</f>
        <v/>
      </c>
      <c r="P70" s="13">
        <f>IF(NOT(ISBLANK($A70)),SUM(L$3:L70)-SUM(N$3:N70),"")</f>
        <v>-886.60000000000036</v>
      </c>
      <c r="Q70" s="6" t="s">
        <v>9</v>
      </c>
      <c r="R70" s="17"/>
      <c r="S70" s="17"/>
    </row>
    <row r="71" spans="1:19" x14ac:dyDescent="0.25">
      <c r="A71" s="7">
        <v>43087</v>
      </c>
      <c r="B71" s="3"/>
      <c r="C71" s="117" t="str">
        <f>IF(SUMIF($Q$3:$Q71,$Q71,B$3:B71)&gt;0,SUMIF($Q$3:$Q71,$Q71,B$3:B71),"")</f>
        <v/>
      </c>
      <c r="D71" s="10">
        <v>886.6</v>
      </c>
      <c r="E71" s="117">
        <f>IF(SUMIF($Q$3:$Q71,$Q71,D$3:D71)&gt;0,SUMIF($Q$3:$Q71,$Q71,D$3:D71),"")</f>
        <v>4880.26</v>
      </c>
      <c r="F71" s="12">
        <f>IF(NOT(ISBLANK($A71)),SUM(B$3:B71)-SUM(D$3:D71),"")</f>
        <v>274.149492499997</v>
      </c>
      <c r="G71" s="3"/>
      <c r="H71" s="117">
        <f>IF(SUMIF($Q$3:$Q71,$Q71,G$3:G71)&gt;0,SUMIF($Q$3:$Q71,$Q71,G$3:G71),"")</f>
        <v>1170.27</v>
      </c>
      <c r="I71" s="10"/>
      <c r="J71" s="117" t="str">
        <f>IF(SUMIF($Q$3:$Q71,$Q71,I$3:I71)&gt;0,SUMIF($Q$3:$Q71,$Q71,I$3:I71),"")</f>
        <v/>
      </c>
      <c r="K71" s="12">
        <f>IF(NOT(ISBLANK($A71)),SUM(G$3:G71)-SUM(I$3:I71),"")</f>
        <v>-600.23</v>
      </c>
      <c r="L71" s="3">
        <v>886.6</v>
      </c>
      <c r="M71" s="117">
        <f>IF(SUMIF($Q$3:$Q71,$Q71,L$3:L71)&gt;0,SUMIF($Q$3:$Q71,$Q71,L$3:L71),"")</f>
        <v>3559.7400000000002</v>
      </c>
      <c r="N71" s="10"/>
      <c r="O71" s="117" t="str">
        <f>IF(SUMIF($Q$3:$Q71,$Q71,N$3:N71)&gt;0,SUMIF($Q$3:$Q71,$Q71,N$3:N71),"")</f>
        <v/>
      </c>
      <c r="P71" s="12">
        <f>IF(NOT(ISBLANK($A71)),SUM(L$3:L71)-SUM(N$3:N71),"")</f>
        <v>0</v>
      </c>
      <c r="Q71" s="4" t="s">
        <v>18</v>
      </c>
      <c r="R71" s="16"/>
      <c r="S71" s="16"/>
    </row>
    <row r="72" spans="1:19" x14ac:dyDescent="0.25">
      <c r="A72" s="7">
        <v>43096</v>
      </c>
      <c r="B72" s="3">
        <v>689.92</v>
      </c>
      <c r="C72" s="117">
        <f>IF(SUMIF($Q$3:$Q72,$Q72,B$3:B72)&gt;0,SUMIF($Q$3:$Q72,$Q72,B$3:B72),"")</f>
        <v>689.92</v>
      </c>
      <c r="D72" s="10"/>
      <c r="E72" s="117" t="str">
        <f>IF(SUMIF($Q$3:$Q72,$Q72,D$3:D72)&gt;0,SUMIF($Q$3:$Q72,$Q72,D$3:D72),"")</f>
        <v/>
      </c>
      <c r="F72" s="12">
        <f>IF(NOT(ISBLANK($A72)),SUM(B$3:B72)-SUM(D$3:D72),"")</f>
        <v>964.06949249999707</v>
      </c>
      <c r="G72" s="3"/>
      <c r="H72" s="117" t="str">
        <f>IF(SUMIF($Q$3:$Q72,$Q72,G$3:G72)&gt;0,SUMIF($Q$3:$Q72,$Q72,G$3:G72),"")</f>
        <v/>
      </c>
      <c r="I72" s="10"/>
      <c r="J72" s="117">
        <f>IF(SUMIF($Q$3:$Q72,$Q72,I$3:I72)&gt;0,SUMIF($Q$3:$Q72,$Q72,I$3:I72),"")</f>
        <v>689.92</v>
      </c>
      <c r="K72" s="12">
        <f>IF(NOT(ISBLANK($A72)),SUM(G$3:G72)-SUM(I$3:I72),"")</f>
        <v>-600.23</v>
      </c>
      <c r="L72" s="3"/>
      <c r="M72" s="117" t="str">
        <f>IF(SUMIF($Q$3:$Q72,$Q72,L$3:L72)&gt;0,SUMIF($Q$3:$Q72,$Q72,L$3:L72),"")</f>
        <v/>
      </c>
      <c r="N72" s="10"/>
      <c r="O72" s="117" t="str">
        <f>IF(SUMIF($Q$3:$Q72,$Q72,N$3:N72)&gt;0,SUMIF($Q$3:$Q72,$Q72,N$3:N72),"")</f>
        <v/>
      </c>
      <c r="P72" s="12">
        <f>IF(NOT(ISBLANK($A72)),SUM(L$3:L72)-SUM(N$3:N72),"")</f>
        <v>0</v>
      </c>
      <c r="Q72" s="4" t="s">
        <v>189</v>
      </c>
      <c r="R72" s="16" t="s">
        <v>240</v>
      </c>
      <c r="S72" s="16"/>
    </row>
    <row r="73" spans="1:19" x14ac:dyDescent="0.25">
      <c r="A73" s="8">
        <v>43096</v>
      </c>
      <c r="B73" s="5"/>
      <c r="C73" s="118" t="str">
        <f>IF(SUMIF($Q$3:$Q73,$Q73,B$3:B73)&gt;0,SUMIF($Q$3:$Q73,$Q73,B$3:B73),"")</f>
        <v/>
      </c>
      <c r="D73" s="10">
        <v>7.98</v>
      </c>
      <c r="E73" s="118">
        <f>IF(SUMIF($Q$3:$Q73,$Q73,D$3:D73)&gt;0,SUMIF($Q$3:$Q73,$Q73,D$3:D73),"")</f>
        <v>4888.24</v>
      </c>
      <c r="F73" s="13">
        <f>IF(NOT(ISBLANK($A73)),SUM(B$3:B73)-SUM(D$3:D73),"")</f>
        <v>956.0894924999975</v>
      </c>
      <c r="G73" s="10">
        <v>7.98</v>
      </c>
      <c r="H73" s="118">
        <f>IF(SUMIF($Q$3:$Q73,$Q73,G$3:G73)&gt;0,SUMIF($Q$3:$Q73,$Q73,G$3:G73),"")</f>
        <v>1178.25</v>
      </c>
      <c r="I73" s="11"/>
      <c r="J73" s="118" t="str">
        <f>IF(SUMIF($Q$3:$Q73,$Q73,I$3:I73)&gt;0,SUMIF($Q$3:$Q73,$Q73,I$3:I73),"")</f>
        <v/>
      </c>
      <c r="K73" s="13">
        <f>IF(NOT(ISBLANK($A73)),SUM(G$3:G73)-SUM(I$3:I73),"")</f>
        <v>-592.25</v>
      </c>
      <c r="L73" s="5"/>
      <c r="M73" s="118">
        <f>IF(SUMIF($Q$3:$Q73,$Q73,L$3:L73)&gt;0,SUMIF($Q$3:$Q73,$Q73,L$3:L73),"")</f>
        <v>3559.7400000000002</v>
      </c>
      <c r="N73" s="11"/>
      <c r="O73" s="118" t="str">
        <f>IF(SUMIF($Q$3:$Q73,$Q73,N$3:N73)&gt;0,SUMIF($Q$3:$Q73,$Q73,N$3:N73),"")</f>
        <v/>
      </c>
      <c r="P73" s="13">
        <f>IF(NOT(ISBLANK($A73)),SUM(L$3:L73)-SUM(N$3:N73),"")</f>
        <v>0</v>
      </c>
      <c r="Q73" s="4" t="s">
        <v>18</v>
      </c>
      <c r="R73" s="17"/>
      <c r="S73" s="17"/>
    </row>
    <row r="74" spans="1:19" x14ac:dyDescent="0.25">
      <c r="A74" s="8">
        <v>43096</v>
      </c>
      <c r="B74" s="5"/>
      <c r="C74" s="118" t="str">
        <f>IF(SUMIF($Q$3:$Q74,$Q74,B$3:B74)&gt;0,SUMIF($Q$3:$Q74,$Q74,B$3:B74),"")</f>
        <v/>
      </c>
      <c r="D74" s="10">
        <v>500.14</v>
      </c>
      <c r="E74" s="118">
        <f>IF(SUMIF($Q$3:$Q74,$Q74,D$3:D74)&gt;0,SUMIF($Q$3:$Q74,$Q74,D$3:D74),"")</f>
        <v>5388.38</v>
      </c>
      <c r="F74" s="13">
        <f>IF(NOT(ISBLANK($A74)),SUM(B$3:B74)-SUM(D$3:D74),"")</f>
        <v>455.94949249999809</v>
      </c>
      <c r="G74" s="10">
        <v>500.14</v>
      </c>
      <c r="H74" s="118">
        <f>IF(SUMIF($Q$3:$Q74,$Q74,G$3:G74)&gt;0,SUMIF($Q$3:$Q74,$Q74,G$3:G74),"")</f>
        <v>1678.3899999999999</v>
      </c>
      <c r="I74" s="11"/>
      <c r="J74" s="118" t="str">
        <f>IF(SUMIF($Q$3:$Q74,$Q74,I$3:I74)&gt;0,SUMIF($Q$3:$Q74,$Q74,I$3:I74),"")</f>
        <v/>
      </c>
      <c r="K74" s="13">
        <f>IF(NOT(ISBLANK($A74)),SUM(G$3:G74)-SUM(I$3:I74),"")</f>
        <v>-92.110000000000127</v>
      </c>
      <c r="L74" s="5"/>
      <c r="M74" s="118">
        <f>IF(SUMIF($Q$3:$Q74,$Q74,L$3:L74)&gt;0,SUMIF($Q$3:$Q74,$Q74,L$3:L74),"")</f>
        <v>3559.7400000000002</v>
      </c>
      <c r="N74" s="11"/>
      <c r="O74" s="118" t="str">
        <f>IF(SUMIF($Q$3:$Q74,$Q74,N$3:N74)&gt;0,SUMIF($Q$3:$Q74,$Q74,N$3:N74),"")</f>
        <v/>
      </c>
      <c r="P74" s="13">
        <f>IF(NOT(ISBLANK($A74)),SUM(L$3:L74)-SUM(N$3:N74),"")</f>
        <v>0</v>
      </c>
      <c r="Q74" s="4" t="s">
        <v>18</v>
      </c>
      <c r="R74" s="17"/>
      <c r="S74" s="17"/>
    </row>
    <row r="75" spans="1:19" x14ac:dyDescent="0.25">
      <c r="A75" s="7">
        <v>43096</v>
      </c>
      <c r="B75" s="3"/>
      <c r="C75" s="117" t="str">
        <f>IF(SUMIF($Q$3:$Q75,$Q75,B$3:B75)&gt;0,SUMIF($Q$3:$Q75,$Q75,B$3:B75),"")</f>
        <v/>
      </c>
      <c r="D75" s="11">
        <v>84.21</v>
      </c>
      <c r="E75" s="117">
        <f>IF(SUMIF($Q$3:$Q75,$Q75,D$3:D75)&gt;0,SUMIF($Q$3:$Q75,$Q75,D$3:D75),"")</f>
        <v>5472.59</v>
      </c>
      <c r="F75" s="12">
        <f>IF(NOT(ISBLANK($A75)),SUM(B$3:B75)-SUM(D$3:D75),"")</f>
        <v>371.73949249999896</v>
      </c>
      <c r="G75" s="11">
        <v>84.21</v>
      </c>
      <c r="H75" s="117">
        <f>IF(SUMIF($Q$3:$Q75,$Q75,G$3:G75)&gt;0,SUMIF($Q$3:$Q75,$Q75,G$3:G75),"")</f>
        <v>1762.6</v>
      </c>
      <c r="I75" s="10"/>
      <c r="J75" s="117" t="str">
        <f>IF(SUMIF($Q$3:$Q75,$Q75,I$3:I75)&gt;0,SUMIF($Q$3:$Q75,$Q75,I$3:I75),"")</f>
        <v/>
      </c>
      <c r="K75" s="12">
        <f>IF(NOT(ISBLANK($A75)),SUM(G$3:G75)-SUM(I$3:I75),"")</f>
        <v>-7.9000000000000909</v>
      </c>
      <c r="L75" s="3"/>
      <c r="M75" s="117">
        <f>IF(SUMIF($Q$3:$Q75,$Q75,L$3:L75)&gt;0,SUMIF($Q$3:$Q75,$Q75,L$3:L75),"")</f>
        <v>3559.7400000000002</v>
      </c>
      <c r="N75" s="10"/>
      <c r="O75" s="117" t="str">
        <f>IF(SUMIF($Q$3:$Q75,$Q75,N$3:N75)&gt;0,SUMIF($Q$3:$Q75,$Q75,N$3:N75),"")</f>
        <v/>
      </c>
      <c r="P75" s="12">
        <f>IF(NOT(ISBLANK($A75)),SUM(L$3:L75)-SUM(N$3:N75),"")</f>
        <v>0</v>
      </c>
      <c r="Q75" s="4" t="s">
        <v>18</v>
      </c>
      <c r="R75" s="16"/>
      <c r="S75" s="16"/>
    </row>
    <row r="76" spans="1:19" x14ac:dyDescent="0.25">
      <c r="A76" s="7">
        <v>43096</v>
      </c>
      <c r="B76" s="3"/>
      <c r="C76" s="117" t="str">
        <f>IF(SUMIF($Q$3:$Q76,$Q76,B$3:B76)&gt;0,SUMIF($Q$3:$Q76,$Q76,B$3:B76),"")</f>
        <v/>
      </c>
      <c r="D76" s="11">
        <v>8.06</v>
      </c>
      <c r="E76" s="117">
        <f>IF(SUMIF($Q$3:$Q76,$Q76,D$3:D76)&gt;0,SUMIF($Q$3:$Q76,$Q76,D$3:D76),"")</f>
        <v>5480.6500000000005</v>
      </c>
      <c r="F76" s="12">
        <f>IF(NOT(ISBLANK($A76)),SUM(B$3:B76)-SUM(D$3:D76),"")</f>
        <v>363.67949249999947</v>
      </c>
      <c r="G76" s="11">
        <v>8.06</v>
      </c>
      <c r="H76" s="117">
        <f>IF(SUMIF($Q$3:$Q76,$Q76,G$3:G76)&gt;0,SUMIF($Q$3:$Q76,$Q76,G$3:G76),"")</f>
        <v>1770.6599999999999</v>
      </c>
      <c r="I76" s="10"/>
      <c r="J76" s="117" t="str">
        <f>IF(SUMIF($Q$3:$Q76,$Q76,I$3:I76)&gt;0,SUMIF($Q$3:$Q76,$Q76,I$3:I76),"")</f>
        <v/>
      </c>
      <c r="K76" s="12">
        <f>IF(NOT(ISBLANK($A76)),SUM(G$3:G76)-SUM(I$3:I76),"")</f>
        <v>0.15999999999985448</v>
      </c>
      <c r="L76" s="3"/>
      <c r="M76" s="117">
        <f>IF(SUMIF($Q$3:$Q76,$Q76,L$3:L76)&gt;0,SUMIF($Q$3:$Q76,$Q76,L$3:L76),"")</f>
        <v>3559.7400000000002</v>
      </c>
      <c r="N76" s="10"/>
      <c r="O76" s="117" t="str">
        <f>IF(SUMIF($Q$3:$Q76,$Q76,N$3:N76)&gt;0,SUMIF($Q$3:$Q76,$Q76,N$3:N76),"")</f>
        <v/>
      </c>
      <c r="P76" s="12">
        <f>IF(NOT(ISBLANK($A76)),SUM(L$3:L76)-SUM(N$3:N76),"")</f>
        <v>0</v>
      </c>
      <c r="Q76" s="4" t="s">
        <v>18</v>
      </c>
      <c r="R76" s="16"/>
      <c r="S76" s="16"/>
    </row>
    <row r="77" spans="1:19" x14ac:dyDescent="0.25">
      <c r="A77" s="8">
        <v>43096</v>
      </c>
      <c r="B77" s="5">
        <v>0.16</v>
      </c>
      <c r="C77" s="118">
        <f>IF(SUMIF($Q$3:$Q77,$Q77,B$3:B77)&gt;0,SUMIF($Q$3:$Q77,$Q77,B$3:B77),"")</f>
        <v>0.16</v>
      </c>
      <c r="D77" s="11"/>
      <c r="E77" s="118">
        <f>IF(SUMIF($Q$3:$Q77,$Q77,D$3:D77)&gt;0,SUMIF($Q$3:$Q77,$Q77,D$3:D77),"")</f>
        <v>5480.6500000000005</v>
      </c>
      <c r="F77" s="13">
        <f>IF(NOT(ISBLANK($A77)),SUM(B$3:B77)-SUM(D$3:D77),"")</f>
        <v>363.83949249999932</v>
      </c>
      <c r="G77" s="5"/>
      <c r="H77" s="118">
        <f>IF(SUMIF($Q$3:$Q77,$Q77,G$3:G77)&gt;0,SUMIF($Q$3:$Q77,$Q77,G$3:G77),"")</f>
        <v>1770.6599999999999</v>
      </c>
      <c r="I77" s="11">
        <v>0.16</v>
      </c>
      <c r="J77" s="118">
        <f>IF(SUMIF($Q$3:$Q77,$Q77,I$3:I77)&gt;0,SUMIF($Q$3:$Q77,$Q77,I$3:I77),"")</f>
        <v>0.16</v>
      </c>
      <c r="K77" s="13">
        <f>IF(NOT(ISBLANK($A77)),SUM(G$3:G77)-SUM(I$3:I77),"")</f>
        <v>-2.2737367544323206E-13</v>
      </c>
      <c r="L77" s="5"/>
      <c r="M77" s="118">
        <f>IF(SUMIF($Q$3:$Q77,$Q77,L$3:L77)&gt;0,SUMIF($Q$3:$Q77,$Q77,L$3:L77),"")</f>
        <v>3559.7400000000002</v>
      </c>
      <c r="N77" s="11"/>
      <c r="O77" s="118" t="str">
        <f>IF(SUMIF($Q$3:$Q77,$Q77,N$3:N77)&gt;0,SUMIF($Q$3:$Q77,$Q77,N$3:N77),"")</f>
        <v/>
      </c>
      <c r="P77" s="13">
        <f>IF(NOT(ISBLANK($A77)),SUM(L$3:L77)-SUM(N$3:N77),"")</f>
        <v>0</v>
      </c>
      <c r="Q77" s="4" t="s">
        <v>18</v>
      </c>
      <c r="R77" s="17" t="s">
        <v>241</v>
      </c>
      <c r="S77" s="17"/>
    </row>
    <row r="78" spans="1:19" x14ac:dyDescent="0.25">
      <c r="A78" s="8">
        <v>43098</v>
      </c>
      <c r="B78" s="5"/>
      <c r="C78" s="118" t="str">
        <f>IF(SUMIF($Q$3:$Q78,$Q78,B$3:B78)&gt;0,SUMIF($Q$3:$Q78,$Q78,B$3:B78),"")</f>
        <v/>
      </c>
      <c r="D78" s="11"/>
      <c r="E78" s="118" t="str">
        <f>IF(SUMIF($Q$3:$Q78,$Q78,D$3:D78)&gt;0,SUMIF($Q$3:$Q78,$Q78,D$3:D78),"")</f>
        <v/>
      </c>
      <c r="F78" s="13">
        <f>IF(NOT(ISBLANK($A78)),SUM(B$3:B78)-SUM(D$3:D78),"")</f>
        <v>363.83949249999932</v>
      </c>
      <c r="G78" s="5"/>
      <c r="H78" s="118" t="str">
        <f>IF(SUMIF($Q$3:$Q78,$Q78,G$3:G78)&gt;0,SUMIF($Q$3:$Q78,$Q78,G$3:G78),"")</f>
        <v/>
      </c>
      <c r="I78" s="11">
        <v>194.33</v>
      </c>
      <c r="J78" s="118">
        <f>IF(SUMIF($Q$3:$Q78,$Q78,I$3:I78)&gt;0,SUMIF($Q$3:$Q78,$Q78,I$3:I78),"")</f>
        <v>194.33</v>
      </c>
      <c r="K78" s="13">
        <f>IF(NOT(ISBLANK($A78)),SUM(G$3:G78)-SUM(I$3:I78),"")</f>
        <v>-194.33000000000038</v>
      </c>
      <c r="L78" s="5"/>
      <c r="M78" s="118" t="str">
        <f>IF(SUMIF($Q$3:$Q78,$Q78,L$3:L78)&gt;0,SUMIF($Q$3:$Q78,$Q78,L$3:L78),"")</f>
        <v/>
      </c>
      <c r="N78" s="11"/>
      <c r="O78" s="118" t="str">
        <f>IF(SUMIF($Q$3:$Q78,$Q78,N$3:N78)&gt;0,SUMIF($Q$3:$Q78,$Q78,N$3:N78),"")</f>
        <v/>
      </c>
      <c r="P78" s="13">
        <f>IF(NOT(ISBLANK($A78)),SUM(L$3:L78)-SUM(N$3:N78),"")</f>
        <v>0</v>
      </c>
      <c r="Q78" s="6" t="s">
        <v>243</v>
      </c>
      <c r="R78" s="17" t="s">
        <v>106</v>
      </c>
      <c r="S78" s="17" t="s">
        <v>244</v>
      </c>
    </row>
    <row r="79" spans="1:19" x14ac:dyDescent="0.25">
      <c r="A79" s="7">
        <f>12/31</f>
        <v>0.38709677419354838</v>
      </c>
      <c r="B79" s="3"/>
      <c r="C79" s="117">
        <f>IF(SUMIF($Q$3:$Q79,$Q79,B$3:B79)&gt;0,SUMIF($Q$3:$Q79,$Q79,B$3:B79),"")</f>
        <v>0.16</v>
      </c>
      <c r="D79" s="10">
        <v>194.33</v>
      </c>
      <c r="E79" s="117">
        <f>IF(SUMIF($Q$3:$Q79,$Q79,D$3:D79)&gt;0,SUMIF($Q$3:$Q79,$Q79,D$3:D79),"")</f>
        <v>5674.9800000000005</v>
      </c>
      <c r="F79" s="12">
        <f>IF(NOT(ISBLANK($A79)),SUM(B$3:B79)-SUM(D$3:D79),"")</f>
        <v>169.5094924999994</v>
      </c>
      <c r="G79" s="3">
        <v>194.33000000999999</v>
      </c>
      <c r="H79" s="117">
        <f>IF(SUMIF($Q$3:$Q79,$Q79,G$3:G79)&gt;0,SUMIF($Q$3:$Q79,$Q79,G$3:G79),"")</f>
        <v>1964.9900000099999</v>
      </c>
      <c r="I79" s="10"/>
      <c r="J79" s="117">
        <f>IF(SUMIF($Q$3:$Q79,$Q79,I$3:I79)&gt;0,SUMIF($Q$3:$Q79,$Q79,I$3:I79),"")</f>
        <v>0.16</v>
      </c>
      <c r="K79" s="12">
        <f>IF(NOT(ISBLANK($A79)),SUM(G$3:G79)-SUM(I$3:I79),"")</f>
        <v>9.9994394986424595E-9</v>
      </c>
      <c r="L79" s="3"/>
      <c r="M79" s="117">
        <f>IF(SUMIF($Q$3:$Q79,$Q79,L$3:L79)&gt;0,SUMIF($Q$3:$Q79,$Q79,L$3:L79),"")</f>
        <v>3559.7400000000002</v>
      </c>
      <c r="N79" s="10"/>
      <c r="O79" s="117" t="str">
        <f>IF(SUMIF($Q$3:$Q79,$Q79,N$3:N79)&gt;0,SUMIF($Q$3:$Q79,$Q79,N$3:N79),"")</f>
        <v/>
      </c>
      <c r="P79" s="12">
        <f>IF(NOT(ISBLANK($A79)),SUM(L$3:L79)-SUM(N$3:N79),"")</f>
        <v>0</v>
      </c>
      <c r="Q79" s="4" t="s">
        <v>18</v>
      </c>
      <c r="R79" s="16"/>
      <c r="S79" s="16"/>
    </row>
    <row r="80" spans="1:19" x14ac:dyDescent="0.25">
      <c r="A80" s="7"/>
      <c r="B80" s="3"/>
      <c r="C80" s="117" t="str">
        <f>IF(SUMIF($Q$3:$Q80,$Q80,B$3:B80)&gt;0,SUMIF($Q$3:$Q80,$Q80,B$3:B80),"")</f>
        <v/>
      </c>
      <c r="D80" s="10"/>
      <c r="E80" s="117" t="str">
        <f>IF(SUMIF($Q$3:$Q80,$Q80,D$3:D80)&gt;0,SUMIF($Q$3:$Q80,$Q80,D$3:D80),"")</f>
        <v/>
      </c>
      <c r="F80" s="12" t="str">
        <f>IF(NOT(ISBLANK($A80)),SUM(B$3:B80)-SUM(D$3:D80),"")</f>
        <v/>
      </c>
      <c r="G80" s="3"/>
      <c r="H80" s="117" t="str">
        <f>IF(SUMIF($Q$3:$Q80,$Q80,G$3:G80)&gt;0,SUMIF($Q$3:$Q80,$Q80,G$3:G80),"")</f>
        <v/>
      </c>
      <c r="I80" s="10"/>
      <c r="J80" s="117" t="str">
        <f>IF(SUMIF($Q$3:$Q80,$Q80,I$3:I80)&gt;0,SUMIF($Q$3:$Q80,$Q80,I$3:I80),"")</f>
        <v/>
      </c>
      <c r="K80" s="12" t="str">
        <f>IF(NOT(ISBLANK($A80)),SUM(G$3:G80)-SUM(I$3:I80),"")</f>
        <v/>
      </c>
      <c r="L80" s="3"/>
      <c r="M80" s="117" t="str">
        <f>IF(SUMIF($Q$3:$Q80,$Q80,L$3:L80)&gt;0,SUMIF($Q$3:$Q80,$Q80,L$3:L80),"")</f>
        <v/>
      </c>
      <c r="N80" s="10"/>
      <c r="O80" s="117" t="str">
        <f>IF(SUMIF($Q$3:$Q80,$Q80,N$3:N80)&gt;0,SUMIF($Q$3:$Q80,$Q80,N$3:N80),"")</f>
        <v/>
      </c>
      <c r="P80" s="12" t="str">
        <f>IF(NOT(ISBLANK($A80)),SUM(L$3:L80)-SUM(N$3:N80),"")</f>
        <v/>
      </c>
      <c r="Q80" s="4"/>
      <c r="R80" s="16"/>
      <c r="S80" s="16"/>
    </row>
    <row r="81" spans="1:19" x14ac:dyDescent="0.25">
      <c r="A81" s="8"/>
      <c r="B81" s="5"/>
      <c r="C81" s="118"/>
      <c r="D81" s="11"/>
      <c r="E81" s="118"/>
      <c r="F81" s="13"/>
      <c r="G81" s="5"/>
      <c r="H81" s="118"/>
      <c r="I81" s="11"/>
      <c r="J81" s="118"/>
      <c r="K81" s="13"/>
      <c r="L81" s="5"/>
      <c r="M81" s="118"/>
      <c r="N81" s="11"/>
      <c r="O81" s="118"/>
      <c r="P81" s="13"/>
      <c r="Q81" s="4"/>
      <c r="R81" s="17"/>
      <c r="S81" s="17"/>
    </row>
    <row r="82" spans="1:19" x14ac:dyDescent="0.25">
      <c r="A82" s="8"/>
      <c r="B82" s="5"/>
      <c r="C82" s="118" t="str">
        <f>IF(SUMIF($Q$3:$Q82,$Q82,B$3:B82)&gt;0,SUMIF($Q$3:$Q82,$Q82,B$3:B82),"")</f>
        <v/>
      </c>
      <c r="D82" s="11"/>
      <c r="E82" s="118" t="str">
        <f>IF(SUMIF($Q$3:$Q82,$Q82,D$3:D82)&gt;0,SUMIF($Q$3:$Q82,$Q82,D$3:D82),"")</f>
        <v/>
      </c>
      <c r="F82" s="13" t="str">
        <f>IF(NOT(ISBLANK($A82)),SUM(B$3:B82)-SUM(D$3:D82),"")</f>
        <v/>
      </c>
      <c r="G82" s="5"/>
      <c r="H82" s="118" t="str">
        <f>IF(SUMIF($Q$3:$Q82,$Q82,G$3:G82)&gt;0,SUMIF($Q$3:$Q82,$Q82,G$3:G82),"")</f>
        <v/>
      </c>
      <c r="I82" s="11"/>
      <c r="J82" s="118" t="str">
        <f>IF(SUMIF($Q$3:$Q82,$Q82,I$3:I82)&gt;0,SUMIF($Q$3:$Q82,$Q82,I$3:I82),"")</f>
        <v/>
      </c>
      <c r="K82" s="13" t="str">
        <f>IF(NOT(ISBLANK($A82)),SUM(G$3:G82)-SUM(I$3:I82),"")</f>
        <v/>
      </c>
      <c r="L82" s="5"/>
      <c r="M82" s="118" t="str">
        <f>IF(SUMIF($Q$3:$Q82,$Q82,L$3:L82)&gt;0,SUMIF($Q$3:$Q82,$Q82,L$3:L82),"")</f>
        <v/>
      </c>
      <c r="N82" s="11"/>
      <c r="O82" s="118" t="str">
        <f>IF(SUMIF($Q$3:$Q82,$Q82,N$3:N82)&gt;0,SUMIF($Q$3:$Q82,$Q82,N$3:N82),"")</f>
        <v/>
      </c>
      <c r="P82" s="13" t="str">
        <f>IF(NOT(ISBLANK($A82)),SUM(L$3:L82)-SUM(N$3:N82),"")</f>
        <v/>
      </c>
      <c r="Q82" s="6"/>
      <c r="R82" s="17"/>
      <c r="S82" s="17"/>
    </row>
    <row r="83" spans="1:19" x14ac:dyDescent="0.25">
      <c r="A83" s="7"/>
      <c r="B83" s="3"/>
      <c r="C83" s="117" t="str">
        <f>IF(SUMIF($Q$3:$Q83,$Q83,B$3:B83)&gt;0,SUMIF($Q$3:$Q83,$Q83,B$3:B83),"")</f>
        <v/>
      </c>
      <c r="D83" s="10"/>
      <c r="E83" s="117" t="str">
        <f>IF(SUMIF($Q$3:$Q83,$Q83,D$3:D83)&gt;0,SUMIF($Q$3:$Q83,$Q83,D$3:D83),"")</f>
        <v/>
      </c>
      <c r="F83" s="12" t="str">
        <f>IF(NOT(ISBLANK($A83)),SUM(B$3:B83)-SUM(D$3:D83),"")</f>
        <v/>
      </c>
      <c r="G83" s="3"/>
      <c r="H83" s="117" t="str">
        <f>IF(SUMIF($Q$3:$Q83,$Q83,G$3:G83)&gt;0,SUMIF($Q$3:$Q83,$Q83,G$3:G83),"")</f>
        <v/>
      </c>
      <c r="I83" s="10"/>
      <c r="J83" s="117" t="str">
        <f>IF(SUMIF($Q$3:$Q83,$Q83,I$3:I83)&gt;0,SUMIF($Q$3:$Q83,$Q83,I$3:I83),"")</f>
        <v/>
      </c>
      <c r="K83" s="12" t="str">
        <f>IF(NOT(ISBLANK($A83)),SUM(G$3:G83)-SUM(I$3:I83),"")</f>
        <v/>
      </c>
      <c r="L83" s="3"/>
      <c r="M83" s="117" t="str">
        <f>IF(SUMIF($Q$3:$Q83,$Q83,L$3:L83)&gt;0,SUMIF($Q$3:$Q83,$Q83,L$3:L83),"")</f>
        <v/>
      </c>
      <c r="N83" s="10"/>
      <c r="O83" s="117" t="str">
        <f>IF(SUMIF($Q$3:$Q83,$Q83,N$3:N83)&gt;0,SUMIF($Q$3:$Q83,$Q83,N$3:N83),"")</f>
        <v/>
      </c>
      <c r="P83" s="12" t="str">
        <f>IF(NOT(ISBLANK($A83)),SUM(L$3:L83)-SUM(N$3:N83),"")</f>
        <v/>
      </c>
      <c r="Q83" s="4"/>
      <c r="R83" s="16"/>
      <c r="S83" s="16"/>
    </row>
    <row r="84" spans="1:19" ht="15.75" thickBot="1" x14ac:dyDescent="0.3">
      <c r="A84" s="7"/>
      <c r="B84" s="3"/>
      <c r="C84" s="117" t="str">
        <f>IF(SUMIF($Q$3:$Q84,$Q84,B$3:B84)&gt;0,SUMIF($Q$3:$Q84,$Q84,B$3:B84),"")</f>
        <v/>
      </c>
      <c r="D84" s="10"/>
      <c r="E84" s="117" t="str">
        <f>IF(SUMIF($Q$3:$Q84,$Q84,D$3:D84)&gt;0,SUMIF($Q$3:$Q84,$Q84,D$3:D84),"")</f>
        <v/>
      </c>
      <c r="F84" s="12" t="str">
        <f>IF(NOT(ISBLANK($A84)),SUM(B$3:B84)-SUM(D$3:D84),"")</f>
        <v/>
      </c>
      <c r="G84" s="3"/>
      <c r="H84" s="117" t="str">
        <f>IF(SUMIF($Q$3:$Q84,$Q84,G$3:G84)&gt;0,SUMIF($Q$3:$Q84,$Q84,G$3:G84),"")</f>
        <v/>
      </c>
      <c r="I84" s="10"/>
      <c r="J84" s="117" t="str">
        <f>IF(SUMIF($Q$3:$Q84,$Q84,I$3:I84)&gt;0,SUMIF($Q$3:$Q84,$Q84,I$3:I84),"")</f>
        <v/>
      </c>
      <c r="K84" s="12" t="str">
        <f>IF(NOT(ISBLANK($A84)),SUM(G$3:G84)-SUM(I$3:I84),"")</f>
        <v/>
      </c>
      <c r="L84" s="3"/>
      <c r="M84" s="117" t="str">
        <f>IF(SUMIF($Q$3:$Q84,$Q84,L$3:L84)&gt;0,SUMIF($Q$3:$Q84,$Q84,L$3:L84),"")</f>
        <v/>
      </c>
      <c r="N84" s="10"/>
      <c r="O84" s="117" t="str">
        <f>IF(SUMIF($Q$3:$Q84,$Q84,N$3:N84)&gt;0,SUMIF($Q$3:$Q84,$Q84,N$3:N84),"")</f>
        <v/>
      </c>
      <c r="P84" s="12" t="str">
        <f>IF(NOT(ISBLANK($A84)),SUM(L$3:L84)-SUM(N$3:N84),"")</f>
        <v/>
      </c>
      <c r="Q84" s="4"/>
      <c r="R84" s="16"/>
      <c r="S84" s="16"/>
    </row>
    <row r="85" spans="1:19" ht="19.5" thickBot="1" x14ac:dyDescent="0.35">
      <c r="A85" s="103"/>
      <c r="B85" s="105" t="s">
        <v>36</v>
      </c>
      <c r="C85" s="104"/>
      <c r="D85" s="104"/>
      <c r="E85" s="104"/>
      <c r="F85" s="106">
        <f>SUM(B$3:B80)-SUM(D$3:D80)</f>
        <v>169.5094924999994</v>
      </c>
      <c r="G85" s="105" t="s">
        <v>36</v>
      </c>
      <c r="H85" s="104"/>
      <c r="I85" s="104"/>
      <c r="J85" s="104"/>
      <c r="K85" s="106">
        <f>SUM(G$3:G80)-SUM(I$3:I80)</f>
        <v>9.9994394986424595E-9</v>
      </c>
      <c r="L85" s="105" t="s">
        <v>36</v>
      </c>
      <c r="M85" s="104"/>
      <c r="N85" s="104"/>
      <c r="O85" s="104"/>
      <c r="P85" s="106">
        <f>SUM(L$3:L80)-SUM(N$3:N80)</f>
        <v>0</v>
      </c>
      <c r="Q85" s="103"/>
      <c r="R85" s="103"/>
      <c r="S85" s="103"/>
    </row>
  </sheetData>
  <sortState ref="A28:L67">
    <sortCondition ref="A28:A67"/>
  </sortState>
  <mergeCells count="12">
    <mergeCell ref="S1:S2"/>
    <mergeCell ref="R1:R2"/>
    <mergeCell ref="G1:K1"/>
    <mergeCell ref="A1:A2"/>
    <mergeCell ref="B1:F1"/>
    <mergeCell ref="L1:P1"/>
    <mergeCell ref="Q1:Q2"/>
    <mergeCell ref="N2:O2"/>
    <mergeCell ref="L2:M2"/>
    <mergeCell ref="B2:C2"/>
    <mergeCell ref="D2:E2"/>
    <mergeCell ref="I2:J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27"/>
  <sheetViews>
    <sheetView workbookViewId="0">
      <selection activeCell="A16" sqref="A16"/>
    </sheetView>
  </sheetViews>
  <sheetFormatPr defaultRowHeight="15" x14ac:dyDescent="0.25"/>
  <cols>
    <col min="1" max="1" width="30" bestFit="1" customWidth="1"/>
    <col min="2" max="2" width="8" bestFit="1" customWidth="1"/>
    <col min="3" max="3" width="9" bestFit="1" customWidth="1"/>
    <col min="4" max="4" width="10.5703125" bestFit="1" customWidth="1"/>
    <col min="5" max="6" width="8" bestFit="1" customWidth="1"/>
    <col min="7" max="7" width="7.85546875" bestFit="1" customWidth="1"/>
    <col min="8" max="9" width="9" bestFit="1" customWidth="1"/>
    <col min="10" max="10" width="9.4257812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20" t="s">
        <v>0</v>
      </c>
      <c r="B1" s="122" t="s">
        <v>1</v>
      </c>
      <c r="C1" s="123"/>
      <c r="D1" s="124"/>
      <c r="E1" s="122" t="s">
        <v>146</v>
      </c>
      <c r="F1" s="123"/>
      <c r="G1" s="124"/>
      <c r="H1" s="122" t="s">
        <v>2</v>
      </c>
      <c r="I1" s="123"/>
      <c r="J1" s="124"/>
      <c r="K1" s="120" t="s">
        <v>130</v>
      </c>
      <c r="L1" s="120" t="s">
        <v>3</v>
      </c>
      <c r="M1" s="125" t="s">
        <v>150</v>
      </c>
    </row>
    <row r="2" spans="1:13" x14ac:dyDescent="0.25">
      <c r="A2" s="121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21"/>
      <c r="L2" s="121"/>
      <c r="M2" s="126"/>
    </row>
    <row r="3" spans="1:13" ht="14.45" x14ac:dyDescent="0.35">
      <c r="A3" s="7">
        <v>43009</v>
      </c>
      <c r="B3" s="3"/>
      <c r="C3" s="10"/>
      <c r="D3" s="12">
        <f>IF(NOT(ISBLANK($A3)),SUM(B$3:B3)-SUM(C$3:C3),"")</f>
        <v>0</v>
      </c>
      <c r="E3" s="3"/>
      <c r="F3" s="10">
        <v>45.188699999999997</v>
      </c>
      <c r="G3" s="12">
        <f>IF(NOT(ISBLANK($A3)),SUM(E$3:E3)-SUM(F$3:F3),"")</f>
        <v>-45.188699999999997</v>
      </c>
      <c r="H3" s="3"/>
      <c r="I3" s="10"/>
      <c r="J3" s="12">
        <f>IF(NOT(ISBLANK($A3)),SUM(H$3:H3)-SUM(I$3:I3),"")</f>
        <v>0</v>
      </c>
      <c r="K3" s="4" t="b">
        <v>0</v>
      </c>
      <c r="L3" s="4" t="s">
        <v>147</v>
      </c>
      <c r="M3" s="4" t="s">
        <v>149</v>
      </c>
    </row>
    <row r="4" spans="1:13" ht="14.45" x14ac:dyDescent="0.35">
      <c r="A4" s="7">
        <v>43011</v>
      </c>
      <c r="B4" s="3">
        <v>75</v>
      </c>
      <c r="C4" s="10"/>
      <c r="D4" s="12">
        <f>IF(NOT(ISBLANK($A4)),SUM(B$3:B4)-SUM(C$3:C4),"")</f>
        <v>75</v>
      </c>
      <c r="E4" s="3"/>
      <c r="F4" s="10"/>
      <c r="G4" s="12">
        <f>IF(NOT(ISBLANK($A4)),SUM(E$3:E4)-SUM(F$3:F4),"")</f>
        <v>-45.188699999999997</v>
      </c>
      <c r="H4" s="3"/>
      <c r="I4" s="10"/>
      <c r="J4" s="12">
        <f>IF(NOT(ISBLANK($A4)),SUM(H$3:H4)-SUM(I$3:I4),"")</f>
        <v>0</v>
      </c>
      <c r="K4" s="4" t="b">
        <v>1</v>
      </c>
      <c r="L4" s="4" t="s">
        <v>9</v>
      </c>
      <c r="M4" s="4"/>
    </row>
    <row r="5" spans="1:13" ht="14.45" x14ac:dyDescent="0.35">
      <c r="A5" s="8">
        <v>43011</v>
      </c>
      <c r="B5" s="5"/>
      <c r="C5" s="11">
        <v>45.19</v>
      </c>
      <c r="D5" s="13">
        <f>IF(NOT(ISBLANK($A5)),SUM(B$3:B5)-SUM(C$3:C5),"")</f>
        <v>29.810000000000002</v>
      </c>
      <c r="E5" s="5">
        <v>45.19</v>
      </c>
      <c r="F5" s="11"/>
      <c r="G5" s="13">
        <f>IF(NOT(ISBLANK($A5)),SUM(E$3:E5)-SUM(F$3:F5),"")</f>
        <v>1.300000000000523E-3</v>
      </c>
      <c r="H5" s="5"/>
      <c r="I5" s="11"/>
      <c r="J5" s="13">
        <f>IF(NOT(ISBLANK($A5)),SUM(H$3:H5)-SUM(I$3:I5),"")</f>
        <v>0</v>
      </c>
      <c r="K5" s="6"/>
      <c r="L5" s="6" t="s">
        <v>148</v>
      </c>
      <c r="M5" s="6" t="s">
        <v>149</v>
      </c>
    </row>
    <row r="6" spans="1:13" x14ac:dyDescent="0.25">
      <c r="A6" s="8">
        <v>43026</v>
      </c>
      <c r="B6" s="5">
        <v>75</v>
      </c>
      <c r="C6" s="11"/>
      <c r="D6" s="13">
        <f>IF(NOT(ISBLANK($A6)),SUM(B$3:B6)-SUM(C$3:C6),"")</f>
        <v>104.81</v>
      </c>
      <c r="E6" s="5"/>
      <c r="F6" s="11"/>
      <c r="G6" s="13">
        <f>IF(NOT(ISBLANK($A6)),SUM(E$3:E6)-SUM(F$3:F6),"")</f>
        <v>1.300000000000523E-3</v>
      </c>
      <c r="H6" s="5"/>
      <c r="I6" s="11"/>
      <c r="J6" s="13">
        <f>IF(NOT(ISBLANK($A6)),SUM(H$3:H6)-SUM(I$3:I6),"")</f>
        <v>0</v>
      </c>
      <c r="K6" s="6"/>
      <c r="L6" s="6" t="s">
        <v>9</v>
      </c>
      <c r="M6" s="6"/>
    </row>
    <row r="7" spans="1:13" x14ac:dyDescent="0.25">
      <c r="A7" s="7">
        <v>43040</v>
      </c>
      <c r="B7" s="3">
        <v>0.04</v>
      </c>
      <c r="C7" s="10"/>
      <c r="D7" s="12">
        <f>IF(NOT(ISBLANK($A7)),SUM(B$3:B7)-SUM(C$3:C7),"")</f>
        <v>104.85</v>
      </c>
      <c r="E7" s="3"/>
      <c r="F7" s="10"/>
      <c r="G7" s="12">
        <f>IF(NOT(ISBLANK($A7)),SUM(E$3:E7)-SUM(F$3:F7),"")</f>
        <v>1.300000000000523E-3</v>
      </c>
      <c r="H7" s="3"/>
      <c r="I7" s="10"/>
      <c r="J7" s="12">
        <f>IF(NOT(ISBLANK($A7)),SUM(H$3:H7)-SUM(I$3:I7),"")</f>
        <v>0</v>
      </c>
      <c r="K7" s="4"/>
      <c r="L7" s="4" t="s">
        <v>37</v>
      </c>
      <c r="M7" s="4"/>
    </row>
    <row r="8" spans="1:13" x14ac:dyDescent="0.25">
      <c r="A8" s="7">
        <v>43042</v>
      </c>
      <c r="B8" s="3">
        <v>75</v>
      </c>
      <c r="C8" s="10"/>
      <c r="D8" s="12">
        <f>IF(NOT(ISBLANK($A8)),SUM(B$3:B8)-SUM(C$3:C8),"")</f>
        <v>179.85</v>
      </c>
      <c r="E8" s="3"/>
      <c r="F8" s="10"/>
      <c r="G8" s="12">
        <f>IF(NOT(ISBLANK($A8)),SUM(E$3:E8)-SUM(F$3:F8),"")</f>
        <v>1.300000000000523E-3</v>
      </c>
      <c r="H8" s="3"/>
      <c r="I8" s="10"/>
      <c r="J8" s="12">
        <f>IF(NOT(ISBLANK($A8)),SUM(H$3:H8)-SUM(I$3:I8),"")</f>
        <v>0</v>
      </c>
      <c r="K8" s="4"/>
      <c r="L8" s="4" t="s">
        <v>9</v>
      </c>
      <c r="M8" s="4"/>
    </row>
    <row r="9" spans="1:13" x14ac:dyDescent="0.25">
      <c r="A9" s="8">
        <v>43047</v>
      </c>
      <c r="B9" s="5"/>
      <c r="C9" s="11"/>
      <c r="D9" s="13">
        <f>IF(NOT(ISBLANK($A9)),SUM(B$3:B9)-SUM(C$3:C9),"")</f>
        <v>179.85</v>
      </c>
      <c r="E9" s="5"/>
      <c r="F9" s="11"/>
      <c r="G9" s="13">
        <f>IF(NOT(ISBLANK($A9)),SUM(E$3:E9)-SUM(F$3:F9),"")</f>
        <v>1.300000000000523E-3</v>
      </c>
      <c r="H9" s="5"/>
      <c r="I9" s="11">
        <v>180.74</v>
      </c>
      <c r="J9" s="13">
        <f>IF(NOT(ISBLANK($A9)),SUM(H$3:H9)-SUM(I$3:I9),"")</f>
        <v>-180.74</v>
      </c>
      <c r="K9" s="6"/>
      <c r="L9" s="6" t="s">
        <v>164</v>
      </c>
      <c r="M9" s="6"/>
    </row>
    <row r="10" spans="1:13" x14ac:dyDescent="0.25">
      <c r="A10" s="8">
        <v>43048</v>
      </c>
      <c r="B10" s="5"/>
      <c r="C10" s="11">
        <v>179.85</v>
      </c>
      <c r="D10" s="13">
        <f>IF(NOT(ISBLANK($A10)),SUM(B$3:B10)-SUM(C$3:C10),"")</f>
        <v>0</v>
      </c>
      <c r="E10" s="5"/>
      <c r="F10" s="11"/>
      <c r="G10" s="13">
        <f>IF(NOT(ISBLANK($A10)),SUM(E$3:E10)-SUM(F$3:F10),"")</f>
        <v>1.300000000000523E-3</v>
      </c>
      <c r="H10" s="5">
        <v>179.85</v>
      </c>
      <c r="I10" s="11"/>
      <c r="J10" s="13">
        <f>IF(NOT(ISBLANK($A10)),SUM(H$3:H10)-SUM(I$3:I10),"")</f>
        <v>-0.89000000000001478</v>
      </c>
      <c r="K10" s="6"/>
      <c r="L10" s="6" t="s">
        <v>148</v>
      </c>
      <c r="M10" s="6"/>
    </row>
    <row r="11" spans="1:13" x14ac:dyDescent="0.25">
      <c r="A11" s="7">
        <v>43056</v>
      </c>
      <c r="B11" s="3">
        <v>75</v>
      </c>
      <c r="C11" s="10"/>
      <c r="D11" s="12">
        <f>IF(NOT(ISBLANK($A11)),SUM(B$3:B11)-SUM(C$3:C11),"")</f>
        <v>74.999999999999972</v>
      </c>
      <c r="E11" s="3"/>
      <c r="F11" s="10"/>
      <c r="G11" s="12">
        <f>IF(NOT(ISBLANK($A11)),SUM(E$3:E11)-SUM(F$3:F11),"")</f>
        <v>1.300000000000523E-3</v>
      </c>
      <c r="H11" s="3"/>
      <c r="I11" s="10"/>
      <c r="J11" s="12">
        <f>IF(NOT(ISBLANK($A11)),SUM(H$3:H11)-SUM(I$3:I11),"")</f>
        <v>-0.89000000000001478</v>
      </c>
      <c r="K11" s="4"/>
      <c r="L11" s="4" t="s">
        <v>9</v>
      </c>
      <c r="M11" s="4"/>
    </row>
    <row r="12" spans="1:13" x14ac:dyDescent="0.25">
      <c r="A12" s="7">
        <v>43056</v>
      </c>
      <c r="B12" s="3"/>
      <c r="C12" s="10">
        <v>0.89</v>
      </c>
      <c r="D12" s="12">
        <f>IF(NOT(ISBLANK($A12)),SUM(B$3:B12)-SUM(C$3:C12),"")</f>
        <v>74.109999999999985</v>
      </c>
      <c r="E12" s="3"/>
      <c r="F12" s="10"/>
      <c r="G12" s="12">
        <f>IF(NOT(ISBLANK($A12)),SUM(E$3:E12)-SUM(F$3:F12),"")</f>
        <v>1.300000000000523E-3</v>
      </c>
      <c r="H12" s="3"/>
      <c r="I12" s="10"/>
      <c r="J12" s="12">
        <f>IF(NOT(ISBLANK($A12)),SUM(H$3:H12)-SUM(I$3:I12),"")</f>
        <v>-0.89000000000001478</v>
      </c>
      <c r="K12" s="4"/>
      <c r="L12" s="4" t="s">
        <v>148</v>
      </c>
      <c r="M12" s="4"/>
    </row>
    <row r="13" spans="1:13" x14ac:dyDescent="0.25">
      <c r="A13" s="8">
        <v>43070</v>
      </c>
      <c r="B13" s="5">
        <v>0.05</v>
      </c>
      <c r="C13" s="11"/>
      <c r="D13" s="13">
        <f>IF(NOT(ISBLANK($A13)),SUM(B$3:B13)-SUM(C$3:C13),"")</f>
        <v>74.16</v>
      </c>
      <c r="E13" s="5"/>
      <c r="F13" s="11"/>
      <c r="G13" s="13">
        <f>IF(NOT(ISBLANK($A13)),SUM(E$3:E13)-SUM(F$3:F13),"")</f>
        <v>1.300000000000523E-3</v>
      </c>
      <c r="H13" s="5">
        <v>0.89</v>
      </c>
      <c r="I13" s="11"/>
      <c r="J13" s="13">
        <f>IF(NOT(ISBLANK($A13)),SUM(H$3:H13)-SUM(I$3:I13),"")</f>
        <v>-2.8421709430404007E-14</v>
      </c>
      <c r="K13" s="6"/>
      <c r="L13" s="6" t="s">
        <v>37</v>
      </c>
      <c r="M13" s="6"/>
    </row>
    <row r="14" spans="1:13" x14ac:dyDescent="0.25">
      <c r="A14" s="8">
        <v>43073</v>
      </c>
      <c r="B14" s="5">
        <v>75</v>
      </c>
      <c r="C14" s="11"/>
      <c r="D14" s="13">
        <f>IF(NOT(ISBLANK($A14)),SUM(B$3:B14)-SUM(C$3:C14),"")</f>
        <v>149.16</v>
      </c>
      <c r="E14" s="5"/>
      <c r="F14" s="11"/>
      <c r="G14" s="13">
        <f>IF(NOT(ISBLANK($A14)),SUM(E$3:E14)-SUM(F$3:F14),"")</f>
        <v>1.300000000000523E-3</v>
      </c>
      <c r="H14" s="5"/>
      <c r="I14" s="11"/>
      <c r="J14" s="13">
        <f>IF(NOT(ISBLANK($A14)),SUM(H$3:H14)-SUM(I$3:I14),"")</f>
        <v>-2.8421709430404007E-14</v>
      </c>
      <c r="K14" s="6"/>
      <c r="L14" s="6" t="s">
        <v>9</v>
      </c>
      <c r="M14" s="6"/>
    </row>
    <row r="15" spans="1:13" x14ac:dyDescent="0.25">
      <c r="A15" s="7">
        <v>43087</v>
      </c>
      <c r="B15" s="3">
        <v>75</v>
      </c>
      <c r="C15" s="10"/>
      <c r="D15" s="12">
        <f>IF(NOT(ISBLANK($A15)),SUM(B$3:B15)-SUM(C$3:C15),"")</f>
        <v>224.16</v>
      </c>
      <c r="E15" s="3"/>
      <c r="F15" s="10"/>
      <c r="G15" s="12">
        <f>IF(NOT(ISBLANK($A15)),SUM(E$3:E15)-SUM(F$3:F15),"")</f>
        <v>1.300000000000523E-3</v>
      </c>
      <c r="H15" s="3"/>
      <c r="I15" s="10"/>
      <c r="J15" s="12">
        <f>IF(NOT(ISBLANK($A15)),SUM(H$3:H15)-SUM(I$3:I15),"")</f>
        <v>-2.8421709430404007E-14</v>
      </c>
      <c r="K15" s="4"/>
      <c r="L15" s="4" t="s">
        <v>9</v>
      </c>
      <c r="M15" s="4"/>
    </row>
    <row r="16" spans="1:13" x14ac:dyDescent="0.25">
      <c r="A16" s="7"/>
      <c r="B16" s="3"/>
      <c r="C16" s="10"/>
      <c r="D16" s="12" t="str">
        <f>IF(NOT(ISBLANK($A16)),SUM(B$3:B16)-SUM(C$3:C16),"")</f>
        <v/>
      </c>
      <c r="E16" s="3"/>
      <c r="F16" s="10"/>
      <c r="G16" s="12" t="str">
        <f>IF(NOT(ISBLANK($A16)),SUM(E$3:E16)-SUM(F$3:F16),"")</f>
        <v/>
      </c>
      <c r="H16" s="3"/>
      <c r="I16" s="10"/>
      <c r="J16" s="12" t="str">
        <f>IF(NOT(ISBLANK($A16)),SUM(H$3:H16)-SUM(I$3:I16),"")</f>
        <v/>
      </c>
      <c r="K16" s="4"/>
      <c r="L16" s="4"/>
      <c r="M16" s="4"/>
    </row>
    <row r="17" spans="1:13" x14ac:dyDescent="0.25">
      <c r="A17" s="8"/>
      <c r="B17" s="5"/>
      <c r="C17" s="11"/>
      <c r="D17" s="13" t="str">
        <f>IF(NOT(ISBLANK($A17)),SUM(B$3:B17)-SUM(C$3:C17),"")</f>
        <v/>
      </c>
      <c r="E17" s="5"/>
      <c r="F17" s="11"/>
      <c r="G17" s="13" t="str">
        <f>IF(NOT(ISBLANK($A17)),SUM(E$3:E17)-SUM(F$3:F17),"")</f>
        <v/>
      </c>
      <c r="H17" s="5"/>
      <c r="I17" s="11"/>
      <c r="J17" s="13" t="str">
        <f>IF(NOT(ISBLANK($A17)),SUM(H$3:H17)-SUM(I$3:I17),"")</f>
        <v/>
      </c>
      <c r="K17" s="6"/>
      <c r="L17" s="6"/>
      <c r="M17" s="6"/>
    </row>
    <row r="18" spans="1:13" x14ac:dyDescent="0.25">
      <c r="A18" s="8"/>
      <c r="B18" s="5"/>
      <c r="C18" s="11"/>
      <c r="D18" s="13" t="str">
        <f>IF(NOT(ISBLANK($A18)),SUM(B$3:B18)-SUM(C$3:C18),"")</f>
        <v/>
      </c>
      <c r="E18" s="5"/>
      <c r="F18" s="11"/>
      <c r="G18" s="13" t="str">
        <f>IF(NOT(ISBLANK($A18)),SUM(E$3:E18)-SUM(F$3:F18),"")</f>
        <v/>
      </c>
      <c r="H18" s="5"/>
      <c r="I18" s="11"/>
      <c r="J18" s="13" t="str">
        <f>IF(NOT(ISBLANK($A18)),SUM(H$3:H18)-SUM(I$3:I18),"")</f>
        <v/>
      </c>
      <c r="K18" s="6"/>
      <c r="L18" s="6"/>
      <c r="M18" s="6"/>
    </row>
    <row r="19" spans="1:13" x14ac:dyDescent="0.25">
      <c r="A19" s="7"/>
      <c r="B19" s="3"/>
      <c r="C19" s="10"/>
      <c r="D19" s="12" t="str">
        <f>IF(NOT(ISBLANK($A19)),SUM(B$3:B19)-SUM(C$3:C19),"")</f>
        <v/>
      </c>
      <c r="E19" s="3"/>
      <c r="F19" s="10"/>
      <c r="G19" s="12" t="str">
        <f>IF(NOT(ISBLANK($A19)),SUM(E$3:E19)-SUM(F$3:F19),"")</f>
        <v/>
      </c>
      <c r="H19" s="3"/>
      <c r="I19" s="10"/>
      <c r="J19" s="12" t="str">
        <f>IF(NOT(ISBLANK($A19)),SUM(H$3:H19)-SUM(I$3:I19),"")</f>
        <v/>
      </c>
      <c r="K19" s="4"/>
      <c r="L19" s="4"/>
      <c r="M19" s="4"/>
    </row>
    <row r="20" spans="1:13" x14ac:dyDescent="0.25">
      <c r="A20" s="7"/>
      <c r="B20" s="3"/>
      <c r="C20" s="10"/>
      <c r="D20" s="12" t="str">
        <f>IF(NOT(ISBLANK($A20)),SUM(B$3:B20)-SUM(C$3:C20),"")</f>
        <v/>
      </c>
      <c r="E20" s="3"/>
      <c r="F20" s="10"/>
      <c r="G20" s="12" t="str">
        <f>IF(NOT(ISBLANK($A20)),SUM(E$3:E20)-SUM(F$3:F20),"")</f>
        <v/>
      </c>
      <c r="H20" s="3"/>
      <c r="I20" s="10"/>
      <c r="J20" s="12" t="str">
        <f>IF(NOT(ISBLANK($A20)),SUM(H$3:H20)-SUM(I$3:I20),"")</f>
        <v/>
      </c>
      <c r="K20" s="4"/>
      <c r="L20" s="4"/>
      <c r="M20" s="4"/>
    </row>
    <row r="21" spans="1:13" x14ac:dyDescent="0.25">
      <c r="A21" s="8"/>
      <c r="B21" s="5"/>
      <c r="C21" s="11"/>
      <c r="D21" s="13" t="str">
        <f>IF(NOT(ISBLANK($A21)),SUM(B$3:B21)-SUM(C$3:C21),"")</f>
        <v/>
      </c>
      <c r="E21" s="5"/>
      <c r="F21" s="11"/>
      <c r="G21" s="13" t="str">
        <f>IF(NOT(ISBLANK($A21)),SUM(E$3:E21)-SUM(F$3:F21),"")</f>
        <v/>
      </c>
      <c r="H21" s="5"/>
      <c r="I21" s="11"/>
      <c r="J21" s="13" t="str">
        <f>IF(NOT(ISBLANK($A21)),SUM(H$3:H21)-SUM(I$3:I21),"")</f>
        <v/>
      </c>
      <c r="K21" s="6"/>
      <c r="L21" s="6"/>
      <c r="M21" s="6"/>
    </row>
    <row r="22" spans="1:13" x14ac:dyDescent="0.25">
      <c r="A22" s="8"/>
      <c r="B22" s="5"/>
      <c r="C22" s="11"/>
      <c r="D22" s="13" t="str">
        <f>IF(NOT(ISBLANK($A22)),SUM(B$3:B22)-SUM(C$3:C22),"")</f>
        <v/>
      </c>
      <c r="E22" s="5"/>
      <c r="F22" s="11"/>
      <c r="G22" s="13" t="str">
        <f>IF(NOT(ISBLANK($A22)),SUM(E$3:E22)-SUM(F$3:F22),"")</f>
        <v/>
      </c>
      <c r="H22" s="5"/>
      <c r="I22" s="11"/>
      <c r="J22" s="13" t="str">
        <f>IF(NOT(ISBLANK($A22)),SUM(H$3:H22)-SUM(I$3:I22),"")</f>
        <v/>
      </c>
      <c r="K22" s="6"/>
      <c r="L22" s="6"/>
      <c r="M22" s="6"/>
    </row>
    <row r="23" spans="1:13" x14ac:dyDescent="0.25">
      <c r="A23" s="7"/>
      <c r="B23" s="3"/>
      <c r="C23" s="10"/>
      <c r="D23" s="12" t="str">
        <f>IF(NOT(ISBLANK($A23)),SUM(B$3:B23)-SUM(C$3:C23),"")</f>
        <v/>
      </c>
      <c r="E23" s="3"/>
      <c r="F23" s="10"/>
      <c r="G23" s="12" t="str">
        <f>IF(NOT(ISBLANK($A23)),SUM(E$3:E23)-SUM(F$3:F23),"")</f>
        <v/>
      </c>
      <c r="H23" s="3"/>
      <c r="I23" s="10"/>
      <c r="J23" s="12" t="str">
        <f>IF(NOT(ISBLANK($A23)),SUM(H$3:H23)-SUM(I$3:I23),"")</f>
        <v/>
      </c>
      <c r="K23" s="4"/>
      <c r="L23" s="4"/>
      <c r="M23" s="4"/>
    </row>
    <row r="24" spans="1:13" x14ac:dyDescent="0.25">
      <c r="A24" s="7"/>
      <c r="B24" s="3"/>
      <c r="C24" s="10"/>
      <c r="D24" s="12" t="str">
        <f>IF(NOT(ISBLANK($A24)),SUM(B$3:B24)-SUM(C$3:C24),"")</f>
        <v/>
      </c>
      <c r="E24" s="3"/>
      <c r="F24" s="10"/>
      <c r="G24" s="12" t="str">
        <f>IF(NOT(ISBLANK($A24)),SUM(E$3:E24)-SUM(F$3:F24),"")</f>
        <v/>
      </c>
      <c r="H24" s="3"/>
      <c r="I24" s="10"/>
      <c r="J24" s="12" t="str">
        <f>IF(NOT(ISBLANK($A24)),SUM(H$3:H24)-SUM(I$3:I24),"")</f>
        <v/>
      </c>
      <c r="K24" s="4"/>
      <c r="L24" s="4"/>
      <c r="M24" s="4"/>
    </row>
    <row r="25" spans="1:13" x14ac:dyDescent="0.2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5"/>
      <c r="I25" s="11"/>
      <c r="J25" s="13" t="str">
        <f>IF(NOT(ISBLANK($A25)),SUM(H$3:H25)-SUM(I$3:I25),"")</f>
        <v/>
      </c>
      <c r="K25" s="6"/>
      <c r="L25" s="6"/>
      <c r="M25" s="6"/>
    </row>
    <row r="26" spans="1:13" ht="15.75" thickBot="1" x14ac:dyDescent="0.3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5"/>
      <c r="I26" s="11"/>
      <c r="J26" s="13" t="str">
        <f>IF(NOT(ISBLANK($A26)),SUM(H$3:H26)-SUM(I$3:I26),"")</f>
        <v/>
      </c>
      <c r="K26" s="6"/>
      <c r="L26" s="6"/>
      <c r="M26" s="6"/>
    </row>
    <row r="27" spans="1:13" ht="19.5" thickBot="1" x14ac:dyDescent="0.35">
      <c r="A27" s="103"/>
      <c r="B27" s="105" t="s">
        <v>36</v>
      </c>
      <c r="C27" s="104"/>
      <c r="D27" s="106">
        <f>SUM(B$3:B26)-SUM(C$3:C26)</f>
        <v>224.16</v>
      </c>
      <c r="E27" s="105" t="s">
        <v>36</v>
      </c>
      <c r="F27" s="104"/>
      <c r="G27" s="106">
        <f>SUM(E$3:E26)-SUM(F$3:F26)</f>
        <v>1.300000000000523E-3</v>
      </c>
      <c r="H27" s="105" t="s">
        <v>36</v>
      </c>
      <c r="I27" s="104"/>
      <c r="J27" s="106">
        <f>SUM(H$3:H26)-SUM(I$3:I26)</f>
        <v>0</v>
      </c>
      <c r="K27" s="103"/>
      <c r="L27" s="103"/>
      <c r="M27" s="103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L39"/>
  <sheetViews>
    <sheetView tabSelected="1" workbookViewId="0">
      <pane ySplit="840" activePane="bottomLeft"/>
      <selection activeCell="E1" sqref="E1:G1"/>
      <selection pane="bottomLeft" activeCell="A30" sqref="A30"/>
    </sheetView>
  </sheetViews>
  <sheetFormatPr defaultRowHeight="15" x14ac:dyDescent="0.25"/>
  <cols>
    <col min="1" max="1" width="30" bestFit="1" customWidth="1"/>
    <col min="2" max="3" width="9" bestFit="1" customWidth="1"/>
    <col min="4" max="4" width="10.5703125" bestFit="1" customWidth="1"/>
    <col min="5" max="5" width="9" bestFit="1" customWidth="1"/>
    <col min="6" max="6" width="10.140625" bestFit="1" customWidth="1"/>
    <col min="7" max="7" width="12.28515625" bestFit="1" customWidth="1"/>
    <col min="8" max="8" width="8.7109375" bestFit="1" customWidth="1"/>
    <col min="9" max="9" width="7.85546875" bestFit="1" customWidth="1"/>
    <col min="10" max="10" width="24.85546875" customWidth="1"/>
    <col min="11" max="11" width="9" bestFit="1" customWidth="1"/>
  </cols>
  <sheetData>
    <row r="1" spans="1:11" x14ac:dyDescent="0.25">
      <c r="A1" s="120" t="s">
        <v>0</v>
      </c>
      <c r="B1" s="122" t="s">
        <v>1</v>
      </c>
      <c r="C1" s="123"/>
      <c r="D1" s="124"/>
      <c r="E1" s="122" t="s">
        <v>2</v>
      </c>
      <c r="F1" s="123"/>
      <c r="G1" s="124"/>
      <c r="H1" s="120" t="s">
        <v>130</v>
      </c>
      <c r="I1" s="120" t="s">
        <v>131</v>
      </c>
      <c r="J1" s="120" t="s">
        <v>132</v>
      </c>
      <c r="K1" s="120" t="s">
        <v>89</v>
      </c>
    </row>
    <row r="2" spans="1:11" x14ac:dyDescent="0.25">
      <c r="A2" s="121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21"/>
      <c r="I2" s="121"/>
      <c r="J2" s="121"/>
      <c r="K2" s="121"/>
    </row>
    <row r="3" spans="1:11" ht="14.45" x14ac:dyDescent="0.35">
      <c r="A3" s="7">
        <v>42996</v>
      </c>
      <c r="B3" s="3">
        <v>50</v>
      </c>
      <c r="C3" s="10"/>
      <c r="D3" s="12">
        <f>IF(NOT(ISBLANK($A3)),SUM(B$3:B3)-SUM(C$3:C3),"")</f>
        <v>50</v>
      </c>
      <c r="E3" s="3"/>
      <c r="F3" s="10"/>
      <c r="G3" s="12">
        <f>IF(NOT(ISBLANK($A3)),SUM(E$3:E3)-SUM(F$3:F3),"")</f>
        <v>0</v>
      </c>
      <c r="H3" s="4"/>
      <c r="I3" s="4"/>
      <c r="J3" s="4" t="s">
        <v>9</v>
      </c>
      <c r="K3" s="94">
        <f>IF(NOT(ISBLANK(A3)),SUMIF($I$3:$I3,$I3,$F$3:$F3),"")</f>
        <v>0</v>
      </c>
    </row>
    <row r="4" spans="1:11" ht="14.45" x14ac:dyDescent="0.35">
      <c r="A4" s="7">
        <v>43009</v>
      </c>
      <c r="B4" s="3"/>
      <c r="C4" s="10"/>
      <c r="D4" s="12">
        <f>IF(NOT(ISBLANK($A4)),SUM(B$3:B4)-SUM(C$3:C4),"")</f>
        <v>50</v>
      </c>
      <c r="E4" s="3"/>
      <c r="F4" s="10">
        <v>58.17</v>
      </c>
      <c r="G4" s="12">
        <f>IF(NOT(ISBLANK($A4)),SUM(E$3:E4)-SUM(F$3:F4),"")</f>
        <v>-58.17</v>
      </c>
      <c r="H4" s="4" t="b">
        <v>1</v>
      </c>
      <c r="I4" s="4" t="s">
        <v>144</v>
      </c>
      <c r="J4" s="4" t="s">
        <v>145</v>
      </c>
      <c r="K4" s="94">
        <f>IF(NOT(ISBLANK(A4)),SUMIF($I$3:$I4,$I4,$F$3:$F4),"")</f>
        <v>58.17</v>
      </c>
    </row>
    <row r="5" spans="1:11" ht="14.45" x14ac:dyDescent="0.35">
      <c r="A5" s="8">
        <v>43010</v>
      </c>
      <c r="B5" s="5">
        <v>0.01</v>
      </c>
      <c r="C5" s="11"/>
      <c r="D5" s="13">
        <f>IF(NOT(ISBLANK($A5)),SUM(B$3:B5)-SUM(C$3:C5),"")</f>
        <v>50.01</v>
      </c>
      <c r="E5" s="5"/>
      <c r="F5" s="11"/>
      <c r="G5" s="13">
        <f>IF(NOT(ISBLANK($A5)),SUM(E$3:E5)-SUM(F$3:F5),"")</f>
        <v>-58.17</v>
      </c>
      <c r="H5" s="6"/>
      <c r="I5" s="6"/>
      <c r="J5" s="6" t="s">
        <v>37</v>
      </c>
      <c r="K5" s="95"/>
    </row>
    <row r="6" spans="1:11" ht="14.45" x14ac:dyDescent="0.35">
      <c r="A6" s="8">
        <v>43011</v>
      </c>
      <c r="B6" s="5">
        <v>75</v>
      </c>
      <c r="C6" s="11"/>
      <c r="D6" s="13">
        <f>IF(NOT(ISBLANK($A6)),SUM(B$3:B6)-SUM(C$3:C6),"")</f>
        <v>125.00999999999999</v>
      </c>
      <c r="E6" s="5"/>
      <c r="F6" s="11"/>
      <c r="G6" s="13">
        <f>IF(NOT(ISBLANK($A6)),SUM(E$3:E6)-SUM(F$3:F6),"")</f>
        <v>-58.17</v>
      </c>
      <c r="H6" s="6"/>
      <c r="I6" s="6"/>
      <c r="J6" s="6" t="s">
        <v>9</v>
      </c>
      <c r="K6" s="95">
        <f>IF(NOT(ISBLANK(A6)),SUMIF($I$3:$I6,$I6,$F$3:$F6),"")</f>
        <v>0</v>
      </c>
    </row>
    <row r="7" spans="1:11" ht="14.45" x14ac:dyDescent="0.35">
      <c r="A7" s="7">
        <v>43011</v>
      </c>
      <c r="B7" s="3"/>
      <c r="C7" s="10">
        <v>58.17</v>
      </c>
      <c r="D7" s="12">
        <f>IF(NOT(ISBLANK($A7)),SUM(B$3:B7)-SUM(C$3:C7),"")</f>
        <v>66.839999999999989</v>
      </c>
      <c r="E7" s="3">
        <v>58.17</v>
      </c>
      <c r="F7" s="10"/>
      <c r="G7" s="12">
        <f>IF(NOT(ISBLANK($A7)),SUM(E$3:E7)-SUM(F$3:F7),"")</f>
        <v>0</v>
      </c>
      <c r="H7" s="4"/>
      <c r="I7" s="4"/>
      <c r="J7" s="4" t="s">
        <v>18</v>
      </c>
      <c r="K7" s="94">
        <f>IF(NOT(ISBLANK(A7)),SUMIF($I$3:$I7,$I7,$F$3:$F7),"")</f>
        <v>0</v>
      </c>
    </row>
    <row r="8" spans="1:11" ht="14.45" x14ac:dyDescent="0.35">
      <c r="A8" s="7">
        <v>43022</v>
      </c>
      <c r="B8" s="3"/>
      <c r="C8" s="10"/>
      <c r="D8" s="12">
        <f>IF(NOT(ISBLANK($A8)),SUM(B$3:B8)-SUM(C$3:C8),"")</f>
        <v>66.839999999999989</v>
      </c>
      <c r="E8" s="3"/>
      <c r="F8" s="10">
        <v>79.09</v>
      </c>
      <c r="G8" s="12">
        <f>IF(NOT(ISBLANK($A8)),SUM(E$3:E8)-SUM(F$3:F8),"")</f>
        <v>-79.089999999999989</v>
      </c>
      <c r="H8" s="4"/>
      <c r="I8" s="4" t="s">
        <v>140</v>
      </c>
      <c r="J8" s="4" t="s">
        <v>154</v>
      </c>
      <c r="K8" s="94">
        <f>IF(NOT(ISBLANK(A8)),SUMIF($I$3:$I8,$I8,$F$3:$F8),"")</f>
        <v>79.09</v>
      </c>
    </row>
    <row r="9" spans="1:11" ht="14.45" x14ac:dyDescent="0.35">
      <c r="A9" s="8">
        <v>43026</v>
      </c>
      <c r="B9" s="5">
        <v>75</v>
      </c>
      <c r="C9" s="11"/>
      <c r="D9" s="13">
        <f>IF(NOT(ISBLANK($A9)),SUM(B$3:B9)-SUM(C$3:C9),"")</f>
        <v>141.83999999999997</v>
      </c>
      <c r="E9" s="5"/>
      <c r="F9" s="11"/>
      <c r="G9" s="13">
        <f>IF(NOT(ISBLANK($A9)),SUM(E$3:E9)-SUM(F$3:F9),"")</f>
        <v>-79.089999999999989</v>
      </c>
      <c r="H9" s="6"/>
      <c r="I9" s="6"/>
      <c r="J9" s="6" t="s">
        <v>9</v>
      </c>
      <c r="K9" s="95">
        <f>IF(NOT(ISBLANK(A9)),SUMIF($I$3:$I9,$I9,$F$3:$F9),"")</f>
        <v>0</v>
      </c>
    </row>
    <row r="10" spans="1:11" ht="14.45" x14ac:dyDescent="0.35">
      <c r="A10" s="8">
        <v>43027</v>
      </c>
      <c r="B10" s="5"/>
      <c r="C10" s="11">
        <v>79.09</v>
      </c>
      <c r="D10" s="13">
        <f>IF(NOT(ISBLANK($A10)),SUM(B$3:B10)-SUM(C$3:C10),"")</f>
        <v>62.75</v>
      </c>
      <c r="E10" s="5">
        <v>79.09</v>
      </c>
      <c r="F10" s="11"/>
      <c r="G10" s="13">
        <f>IF(NOT(ISBLANK($A10)),SUM(E$3:E10)-SUM(F$3:F10),"")</f>
        <v>0</v>
      </c>
      <c r="H10" s="6"/>
      <c r="I10" s="6"/>
      <c r="J10" s="6" t="s">
        <v>18</v>
      </c>
      <c r="K10" s="95">
        <f>IF(NOT(ISBLANK(A10)),SUMIF($I$3:$I10,$I10,$F$3:$F10),"")</f>
        <v>0</v>
      </c>
    </row>
    <row r="11" spans="1:11" ht="14.45" x14ac:dyDescent="0.35">
      <c r="A11" s="7">
        <v>43033</v>
      </c>
      <c r="B11" s="3"/>
      <c r="C11" s="10"/>
      <c r="D11" s="12">
        <f>IF(NOT(ISBLANK($A11)),SUM(B$3:B11)-SUM(C$3:C11),"")</f>
        <v>62.75</v>
      </c>
      <c r="E11" s="3"/>
      <c r="F11" s="10">
        <v>53.1</v>
      </c>
      <c r="G11" s="12">
        <f>IF(NOT(ISBLANK($A11)),SUM(E$3:E11)-SUM(F$3:F11),"")</f>
        <v>-53.099999999999994</v>
      </c>
      <c r="H11" s="4"/>
      <c r="I11" s="4" t="s">
        <v>144</v>
      </c>
      <c r="J11" s="4" t="s">
        <v>145</v>
      </c>
      <c r="K11" s="94">
        <f>IF(NOT(ISBLANK(A11)),SUMIF($I$3:$I11,$I11,$F$3:$F11),"")</f>
        <v>111.27000000000001</v>
      </c>
    </row>
    <row r="12" spans="1:11" ht="14.45" x14ac:dyDescent="0.35">
      <c r="A12" s="7">
        <v>43036</v>
      </c>
      <c r="B12" s="3"/>
      <c r="C12" s="10"/>
      <c r="D12" s="12">
        <f>IF(NOT(ISBLANK($A12)),SUM(B$3:B12)-SUM(C$3:C12),"")</f>
        <v>62.75</v>
      </c>
      <c r="E12" s="3"/>
      <c r="F12" s="10">
        <v>22.02</v>
      </c>
      <c r="G12" s="12">
        <f>IF(NOT(ISBLANK($A12)),SUM(E$3:E12)-SUM(F$3:F12),"")</f>
        <v>-75.12</v>
      </c>
      <c r="H12" s="4"/>
      <c r="I12" s="4" t="s">
        <v>143</v>
      </c>
      <c r="J12" s="4" t="s">
        <v>95</v>
      </c>
      <c r="K12" s="94">
        <f>IF(NOT(ISBLANK(A12)),SUMIF($I$3:$I12,$I12,$F$3:$F12),"")</f>
        <v>22.02</v>
      </c>
    </row>
    <row r="13" spans="1:11" ht="14.45" x14ac:dyDescent="0.35">
      <c r="A13" s="8">
        <v>43040</v>
      </c>
      <c r="B13" s="5"/>
      <c r="C13" s="11"/>
      <c r="D13" s="13">
        <f>IF(NOT(ISBLANK($A13)),SUM(B$3:B13)-SUM(C$3:C13),"")</f>
        <v>62.75</v>
      </c>
      <c r="E13" s="5"/>
      <c r="F13" s="11">
        <v>101.7</v>
      </c>
      <c r="G13" s="13">
        <f>IF(NOT(ISBLANK($A13)),SUM(E$3:E13)-SUM(F$3:F13),"")</f>
        <v>-176.82</v>
      </c>
      <c r="H13" s="6"/>
      <c r="I13" s="6" t="s">
        <v>140</v>
      </c>
      <c r="J13" s="6" t="s">
        <v>163</v>
      </c>
      <c r="K13" s="95">
        <f>IF(NOT(ISBLANK(A13)),SUMIF($I$3:$I13,$I13,$F$3:$F13),"")</f>
        <v>180.79000000000002</v>
      </c>
    </row>
    <row r="14" spans="1:11" ht="14.45" x14ac:dyDescent="0.35">
      <c r="A14" s="8">
        <v>43041</v>
      </c>
      <c r="B14" s="5">
        <v>0.04</v>
      </c>
      <c r="C14" s="11"/>
      <c r="D14" s="13">
        <f>IF(NOT(ISBLANK($A14)),SUM(B$3:B14)-SUM(C$3:C14),"")</f>
        <v>62.789999999999992</v>
      </c>
      <c r="E14" s="5"/>
      <c r="F14" s="11"/>
      <c r="G14" s="13">
        <f>IF(NOT(ISBLANK($A14)),SUM(E$3:E14)-SUM(F$3:F14),"")</f>
        <v>-176.82</v>
      </c>
      <c r="H14" s="6"/>
      <c r="I14" s="6"/>
      <c r="J14" s="6" t="s">
        <v>37</v>
      </c>
      <c r="K14" s="95">
        <f>IF(NOT(ISBLANK(A14)),SUMIF($I$3:$I14,$I14,$F$3:$F14),"")</f>
        <v>0</v>
      </c>
    </row>
    <row r="15" spans="1:11" ht="14.45" x14ac:dyDescent="0.35">
      <c r="A15" s="7">
        <f>A14</f>
        <v>43041</v>
      </c>
      <c r="B15" s="3">
        <v>75</v>
      </c>
      <c r="C15" s="10"/>
      <c r="D15" s="12">
        <f>IF(NOT(ISBLANK($A15)),SUM(B$3:B15)-SUM(C$3:C15),"")</f>
        <v>137.78999999999996</v>
      </c>
      <c r="E15" s="3"/>
      <c r="F15" s="10"/>
      <c r="G15" s="12">
        <f>IF(NOT(ISBLANK($A15)),SUM(E$3:E15)-SUM(F$3:F15),"")</f>
        <v>-176.82</v>
      </c>
      <c r="H15" s="4"/>
      <c r="I15" s="4"/>
      <c r="J15" s="4" t="s">
        <v>9</v>
      </c>
      <c r="K15" s="94">
        <f>IF(NOT(ISBLANK(A15)),SUMIF($I$3:$I15,$I15,$F$3:$F15),"")</f>
        <v>0</v>
      </c>
    </row>
    <row r="16" spans="1:11" ht="14.45" x14ac:dyDescent="0.35">
      <c r="A16" s="7">
        <v>43044</v>
      </c>
      <c r="B16" s="3"/>
      <c r="C16" s="10">
        <v>137.79</v>
      </c>
      <c r="D16" s="12">
        <f>IF(NOT(ISBLANK($A16)),SUM(B$3:B16)-SUM(C$3:C16),"")</f>
        <v>0</v>
      </c>
      <c r="E16" s="3">
        <v>137.79</v>
      </c>
      <c r="F16" s="10"/>
      <c r="G16" s="12">
        <f>IF(NOT(ISBLANK($A16)),SUM(E$3:E16)-SUM(F$3:F16),"")</f>
        <v>-39.03000000000003</v>
      </c>
      <c r="H16" s="4"/>
      <c r="I16" s="4"/>
      <c r="J16" s="4" t="s">
        <v>18</v>
      </c>
      <c r="K16" s="94">
        <f>IF(NOT(ISBLANK(A16)),SUMIF($I$3:$I16,$I16,$F$3:$F16),"")</f>
        <v>0</v>
      </c>
    </row>
    <row r="17" spans="1:12" ht="14.45" x14ac:dyDescent="0.35">
      <c r="A17" s="8">
        <v>43056</v>
      </c>
      <c r="B17" s="5"/>
      <c r="C17" s="11">
        <v>39.03</v>
      </c>
      <c r="D17" s="13">
        <f>IF(NOT(ISBLANK($A17)),SUM(B$3:B17)-SUM(C$3:C17),"")</f>
        <v>-39.029999999999973</v>
      </c>
      <c r="E17" s="5">
        <v>39.03</v>
      </c>
      <c r="F17" s="11"/>
      <c r="G17" s="13">
        <f>IF(NOT(ISBLANK($A17)),SUM(E$3:E17)-SUM(F$3:F17),"")</f>
        <v>-5.6843418860808015E-14</v>
      </c>
      <c r="H17" s="6"/>
      <c r="I17" s="6"/>
      <c r="J17" s="6" t="s">
        <v>18</v>
      </c>
      <c r="K17" s="95">
        <f>IF(NOT(ISBLANK(A17)),SUMIF($I$3:$I17,$I17,$F$3:$F17),"")</f>
        <v>0</v>
      </c>
    </row>
    <row r="18" spans="1:12" ht="14.45" x14ac:dyDescent="0.35">
      <c r="A18" s="8">
        <v>43056</v>
      </c>
      <c r="B18" s="5">
        <v>75</v>
      </c>
      <c r="C18" s="11"/>
      <c r="D18" s="13">
        <f>IF(NOT(ISBLANK($A18)),SUM(B$3:B18)-SUM(C$3:C18),"")</f>
        <v>35.970000000000027</v>
      </c>
      <c r="E18" s="5"/>
      <c r="F18" s="11"/>
      <c r="G18" s="13">
        <f>IF(NOT(ISBLANK($A18)),SUM(E$3:E18)-SUM(F$3:F18),"")</f>
        <v>-5.6843418860808015E-14</v>
      </c>
      <c r="H18" s="6"/>
      <c r="I18" s="6"/>
      <c r="J18" s="6" t="s">
        <v>9</v>
      </c>
      <c r="K18" s="95">
        <f>IF(NOT(ISBLANK(A18)),SUMIF($I$3:$I18,$I18,$F$3:$F18),"")</f>
        <v>0</v>
      </c>
    </row>
    <row r="19" spans="1:12" ht="14.45" x14ac:dyDescent="0.35">
      <c r="A19" s="7">
        <v>43070</v>
      </c>
      <c r="B19" s="3">
        <v>0.02</v>
      </c>
      <c r="C19" s="10"/>
      <c r="D19" s="12">
        <f>IF(NOT(ISBLANK($A19)),SUM(B$3:B19)-SUM(C$3:C19),"")</f>
        <v>35.990000000000009</v>
      </c>
      <c r="E19" s="3"/>
      <c r="F19" s="10"/>
      <c r="G19" s="12">
        <f>IF(NOT(ISBLANK($A19)),SUM(E$3:E19)-SUM(F$3:F19),"")</f>
        <v>-5.6843418860808015E-14</v>
      </c>
      <c r="H19" s="4"/>
      <c r="I19" s="4"/>
      <c r="J19" s="4" t="s">
        <v>37</v>
      </c>
      <c r="K19" s="94">
        <f>IF(NOT(ISBLANK(A19)),SUMIF($I$3:$I19,$I19,$F$3:$F19),"")</f>
        <v>0</v>
      </c>
    </row>
    <row r="20" spans="1:12" ht="14.45" x14ac:dyDescent="0.35">
      <c r="A20" s="7">
        <v>43073</v>
      </c>
      <c r="B20" s="3">
        <v>75</v>
      </c>
      <c r="C20" s="10"/>
      <c r="D20" s="12">
        <f>IF(NOT(ISBLANK($A20)),SUM(B$3:B20)-SUM(C$3:C20),"")</f>
        <v>110.99000000000001</v>
      </c>
      <c r="E20" s="3"/>
      <c r="F20" s="10"/>
      <c r="G20" s="12">
        <f>IF(NOT(ISBLANK($A20)),SUM(E$3:E20)-SUM(F$3:F20),"")</f>
        <v>-5.6843418860808015E-14</v>
      </c>
      <c r="H20" s="4"/>
      <c r="I20" s="4"/>
      <c r="J20" s="4" t="s">
        <v>9</v>
      </c>
      <c r="K20" s="94">
        <f>IF(NOT(ISBLANK(A20)),SUMIF($I$3:$I20,$I20,$F$3:$F20),"")</f>
        <v>0</v>
      </c>
    </row>
    <row r="21" spans="1:12" ht="14.45" x14ac:dyDescent="0.35">
      <c r="A21" s="8">
        <v>43061</v>
      </c>
      <c r="B21" s="5"/>
      <c r="C21" s="11"/>
      <c r="D21" s="13">
        <f>IF(NOT(ISBLANK($A21)),SUM(B$3:B21)-SUM(C$3:C21),"")</f>
        <v>110.99000000000001</v>
      </c>
      <c r="E21" s="5"/>
      <c r="F21" s="11">
        <v>99.42</v>
      </c>
      <c r="G21" s="13">
        <f>IF(NOT(ISBLANK($A21)),SUM(E$3:E21)-SUM(F$3:F21),"")</f>
        <v>-99.420000000000073</v>
      </c>
      <c r="H21" s="6"/>
      <c r="I21" s="6" t="s">
        <v>144</v>
      </c>
      <c r="J21" s="6" t="s">
        <v>145</v>
      </c>
      <c r="K21" s="95">
        <f>IF(NOT(ISBLANK(A21)),SUMIF($I$3:$I21,$I21,$F$3:$F21),"")</f>
        <v>210.69</v>
      </c>
    </row>
    <row r="22" spans="1:12" ht="14.45" x14ac:dyDescent="0.35">
      <c r="A22" s="8">
        <v>43063</v>
      </c>
      <c r="B22" s="5"/>
      <c r="C22" s="11"/>
      <c r="D22" s="13">
        <f>IF(NOT(ISBLANK($A22)),SUM(B$3:B22)-SUM(C$3:C22),"")</f>
        <v>110.99000000000001</v>
      </c>
      <c r="E22" s="5"/>
      <c r="F22" s="11">
        <v>116.37</v>
      </c>
      <c r="G22" s="13">
        <f>IF(NOT(ISBLANK($A22)),SUM(E$3:E22)-SUM(F$3:F22),"")</f>
        <v>-215.79000000000008</v>
      </c>
      <c r="H22" s="6"/>
      <c r="I22" s="6"/>
      <c r="J22" s="6" t="s">
        <v>95</v>
      </c>
      <c r="K22" s="95">
        <f>IF(NOT(ISBLANK(A22)),SUMIF($I$3:$I22,$I22,$F$3:$F22),"")</f>
        <v>0</v>
      </c>
    </row>
    <row r="23" spans="1:12" ht="14.45" x14ac:dyDescent="0.35">
      <c r="A23" s="7">
        <v>43073</v>
      </c>
      <c r="B23" s="3"/>
      <c r="C23" s="10">
        <v>99.42</v>
      </c>
      <c r="D23" s="12">
        <f>IF(NOT(ISBLANK($A23)),SUM(B$3:B23)-SUM(C$3:C23),"")</f>
        <v>11.569999999999993</v>
      </c>
      <c r="E23" s="3">
        <v>99.42</v>
      </c>
      <c r="F23" s="10"/>
      <c r="G23" s="12">
        <f>IF(NOT(ISBLANK($A23)),SUM(E$3:E23)-SUM(F$3:F23),"")</f>
        <v>-116.37000000000006</v>
      </c>
      <c r="H23" s="4"/>
      <c r="I23" s="4"/>
      <c r="J23" s="4" t="s">
        <v>18</v>
      </c>
      <c r="K23" s="94">
        <f>IF(NOT(ISBLANK(A23)),SUMIF($I$3:$I23,$I23,$F$3:$F23),"")</f>
        <v>0</v>
      </c>
    </row>
    <row r="24" spans="1:12" ht="14.45" x14ac:dyDescent="0.35">
      <c r="A24" s="7">
        <v>43076</v>
      </c>
      <c r="B24" s="3">
        <v>116.37</v>
      </c>
      <c r="C24" s="10"/>
      <c r="D24" s="12">
        <f>IF(NOT(ISBLANK($A24)),SUM(B$3:B24)-SUM(C$3:C24),"")</f>
        <v>127.94</v>
      </c>
      <c r="E24" s="3"/>
      <c r="F24" s="10"/>
      <c r="G24" s="12">
        <f>IF(NOT(ISBLANK($A24)),SUM(E$3:E24)-SUM(F$3:F24),"")</f>
        <v>-116.37000000000006</v>
      </c>
      <c r="H24" s="4"/>
      <c r="I24" s="4"/>
      <c r="J24" s="4" t="s">
        <v>18</v>
      </c>
      <c r="K24" s="94">
        <f>IF(NOT(ISBLANK(A24)),SUMIF($I$3:$I24,$I24,$F$3:$F24),"")</f>
        <v>0</v>
      </c>
      <c r="L24" t="s">
        <v>207</v>
      </c>
    </row>
    <row r="25" spans="1:12" ht="14.45" x14ac:dyDescent="0.35">
      <c r="A25" s="8">
        <v>43081</v>
      </c>
      <c r="B25" s="5"/>
      <c r="C25" s="11">
        <v>116</v>
      </c>
      <c r="D25" s="13">
        <f>IF(NOT(ISBLANK($A25)),SUM(B$3:B25)-SUM(C$3:C25),"")</f>
        <v>11.939999999999941</v>
      </c>
      <c r="E25" s="5">
        <v>116</v>
      </c>
      <c r="F25" s="11"/>
      <c r="G25" s="13">
        <f>IF(NOT(ISBLANK($A25)),SUM(E$3:E25)-SUM(F$3:F25),"")</f>
        <v>-0.37000000000000455</v>
      </c>
      <c r="H25" s="6"/>
      <c r="I25" s="6"/>
      <c r="J25" s="6" t="s">
        <v>18</v>
      </c>
      <c r="K25" s="95">
        <f>IF(NOT(ISBLANK(A25)),SUMIF($I$3:$I25,$I25,$F$3:$F25),"")</f>
        <v>0</v>
      </c>
    </row>
    <row r="26" spans="1:12" ht="14.45" x14ac:dyDescent="0.35">
      <c r="A26" s="8">
        <v>43081</v>
      </c>
      <c r="B26" s="5"/>
      <c r="C26" s="11">
        <v>0.37</v>
      </c>
      <c r="D26" s="13">
        <f>IF(NOT(ISBLANK($A26)),SUM(B$3:B26)-SUM(C$3:C26),"")</f>
        <v>11.569999999999936</v>
      </c>
      <c r="E26" s="5">
        <v>0.37</v>
      </c>
      <c r="F26" s="11"/>
      <c r="G26" s="13">
        <f>IF(NOT(ISBLANK($A26)),SUM(E$3:E26)-SUM(F$3:F26),"")</f>
        <v>0</v>
      </c>
      <c r="H26" s="6"/>
      <c r="I26" s="6"/>
      <c r="J26" s="6" t="s">
        <v>18</v>
      </c>
      <c r="K26" s="95">
        <f>IF(NOT(ISBLANK(A26)),SUMIF($I$3:$I26,$I26,$F$3:$F26),"")</f>
        <v>0</v>
      </c>
    </row>
    <row r="27" spans="1:12" ht="14.45" x14ac:dyDescent="0.35">
      <c r="A27" s="7">
        <v>43087</v>
      </c>
      <c r="B27" s="3">
        <v>75</v>
      </c>
      <c r="C27" s="10"/>
      <c r="D27" s="12">
        <f>IF(NOT(ISBLANK($A27)),SUM(B$3:B27)-SUM(C$3:C27),"")</f>
        <v>86.569999999999936</v>
      </c>
      <c r="E27" s="3"/>
      <c r="F27" s="10"/>
      <c r="G27" s="12">
        <f>IF(NOT(ISBLANK($A27)),SUM(E$3:E27)-SUM(F$3:F27),"")</f>
        <v>0</v>
      </c>
      <c r="H27" s="4"/>
      <c r="I27" s="4"/>
      <c r="J27" s="4" t="s">
        <v>9</v>
      </c>
      <c r="K27" s="94">
        <f>IF(NOT(ISBLANK(A27)),SUMIF($I$3:$I27,$I27,$F$3:$F27),"")</f>
        <v>0</v>
      </c>
    </row>
    <row r="28" spans="1:12" ht="14.45" x14ac:dyDescent="0.35">
      <c r="A28" s="7">
        <v>43087</v>
      </c>
      <c r="B28" s="3"/>
      <c r="C28" s="10">
        <v>86.57</v>
      </c>
      <c r="D28" s="12">
        <f>IF(NOT(ISBLANK($A28)),SUM(B$3:B28)-SUM(C$3:C28),"")</f>
        <v>-1.1368683772161603E-13</v>
      </c>
      <c r="E28" s="3"/>
      <c r="F28" s="10"/>
      <c r="G28" s="12">
        <f>IF(NOT(ISBLANK($A28)),SUM(E$3:E28)-SUM(F$3:F28),"")</f>
        <v>0</v>
      </c>
      <c r="H28" s="4"/>
      <c r="I28" s="4"/>
      <c r="J28" s="4" t="s">
        <v>18</v>
      </c>
      <c r="K28" s="94">
        <f>IF(NOT(ISBLANK(A28)),SUMIF($I$3:$I28,$I28,$F$3:$F28),"")</f>
        <v>0</v>
      </c>
      <c r="L28" t="s">
        <v>207</v>
      </c>
    </row>
    <row r="29" spans="1:12" ht="14.45" x14ac:dyDescent="0.35">
      <c r="A29" s="8">
        <v>43100</v>
      </c>
      <c r="B29" s="5"/>
      <c r="C29" s="11"/>
      <c r="D29" s="13">
        <f>IF(NOT(ISBLANK($A29)),SUM(B$3:B29)-SUM(C$3:C29),"")</f>
        <v>-1.1368683772161603E-13</v>
      </c>
      <c r="E29" s="5"/>
      <c r="F29" s="11">
        <v>79.09</v>
      </c>
      <c r="G29" s="13">
        <f>IF(NOT(ISBLANK($A29)),SUM(E$3:E29)-SUM(F$3:F29),"")</f>
        <v>-79.090000000000032</v>
      </c>
      <c r="H29" s="6"/>
      <c r="I29" s="6" t="s">
        <v>140</v>
      </c>
      <c r="J29" s="6" t="s">
        <v>95</v>
      </c>
      <c r="K29" s="95">
        <f>IF(NOT(ISBLANK(A29)),SUMIF($I$3:$I29,$I29,$F$3:$F29),"")</f>
        <v>259.88</v>
      </c>
      <c r="L29" s="28"/>
    </row>
    <row r="30" spans="1:12" ht="14.45" x14ac:dyDescent="0.35">
      <c r="A30" s="8"/>
      <c r="B30" s="5"/>
      <c r="C30" s="11"/>
      <c r="D30" s="13" t="str">
        <f>IF(NOT(ISBLANK($A30)),SUM(B$3:B30)-SUM(C$3:C30),"")</f>
        <v/>
      </c>
      <c r="E30" s="5"/>
      <c r="F30" s="11"/>
      <c r="G30" s="13" t="str">
        <f>IF(NOT(ISBLANK($A30)),SUM(E$3:E30)-SUM(F$3:F30),"")</f>
        <v/>
      </c>
      <c r="H30" s="6"/>
      <c r="I30" s="6"/>
      <c r="J30" s="6"/>
      <c r="K30" s="95" t="str">
        <f>IF(NOT(ISBLANK(A30)),SUMIF($I$3:$I30,$I30,$F$3:$F30),"")</f>
        <v/>
      </c>
    </row>
    <row r="31" spans="1:12" ht="14.45" x14ac:dyDescent="0.35">
      <c r="A31" s="7"/>
      <c r="B31" s="3"/>
      <c r="C31" s="10"/>
      <c r="D31" s="12" t="str">
        <f>IF(NOT(ISBLANK($A31)),SUM(B$3:B31)-SUM(C$3:C31),"")</f>
        <v/>
      </c>
      <c r="E31" s="3"/>
      <c r="F31" s="10"/>
      <c r="G31" s="12" t="str">
        <f>IF(NOT(ISBLANK($A31)),SUM(E$3:E31)-SUM(F$3:F31),"")</f>
        <v/>
      </c>
      <c r="H31" s="4"/>
      <c r="I31" s="4"/>
      <c r="J31" s="4"/>
      <c r="K31" s="94" t="str">
        <f>IF(NOT(ISBLANK(A31)),SUMIF($I$3:$I31,$I31,$F$3:$F31),"")</f>
        <v/>
      </c>
    </row>
    <row r="32" spans="1:12" ht="14.45" x14ac:dyDescent="0.35">
      <c r="A32" s="7"/>
      <c r="B32" s="3"/>
      <c r="C32" s="10"/>
      <c r="D32" s="12" t="str">
        <f>IF(NOT(ISBLANK($A32)),SUM(B$3:B32)-SUM(C$3:C32),"")</f>
        <v/>
      </c>
      <c r="E32" s="3"/>
      <c r="F32" s="10"/>
      <c r="G32" s="12" t="str">
        <f>IF(NOT(ISBLANK($A32)),SUM(E$3:E32)-SUM(F$3:F32),"")</f>
        <v/>
      </c>
      <c r="H32" s="4"/>
      <c r="I32" s="4"/>
      <c r="J32" s="4"/>
      <c r="K32" s="94" t="str">
        <f>IF(NOT(ISBLANK(A32)),SUMIF($I$3:$I32,$I32,$F$3:$F32),"")</f>
        <v/>
      </c>
    </row>
    <row r="33" spans="1:11" ht="14.45" x14ac:dyDescent="0.35">
      <c r="A33" s="8"/>
      <c r="B33" s="5"/>
      <c r="C33" s="11"/>
      <c r="D33" s="13" t="str">
        <f>IF(NOT(ISBLANK($A33)),SUM(B$3:B33)-SUM(C$3:C33),"")</f>
        <v/>
      </c>
      <c r="E33" s="5"/>
      <c r="F33" s="11"/>
      <c r="G33" s="13" t="str">
        <f>IF(NOT(ISBLANK($A33)),SUM(E$3:E33)-SUM(F$3:F33),"")</f>
        <v/>
      </c>
      <c r="H33" s="6"/>
      <c r="I33" s="6"/>
      <c r="J33" s="6"/>
      <c r="K33" s="95" t="str">
        <f>IF(NOT(ISBLANK(A33)),SUMIF($I$3:$I33,$I33,$F$3:$F33),"")</f>
        <v/>
      </c>
    </row>
    <row r="34" spans="1:11" ht="14.45" x14ac:dyDescent="0.35">
      <c r="A34" s="8"/>
      <c r="B34" s="5"/>
      <c r="C34" s="11"/>
      <c r="D34" s="13" t="str">
        <f>IF(NOT(ISBLANK($A34)),SUM(B$3:B34)-SUM(C$3:C34),"")</f>
        <v/>
      </c>
      <c r="E34" s="5"/>
      <c r="F34" s="11"/>
      <c r="G34" s="13" t="str">
        <f>IF(NOT(ISBLANK($A34)),SUM(E$3:E34)-SUM(F$3:F34),"")</f>
        <v/>
      </c>
      <c r="H34" s="6"/>
      <c r="I34" s="6"/>
      <c r="J34" s="6"/>
      <c r="K34" s="95" t="str">
        <f>IF(NOT(ISBLANK(A34)),SUMIF($I$3:$I34,$I34,$F$3:$F34),"")</f>
        <v/>
      </c>
    </row>
    <row r="35" spans="1:11" ht="14.45" x14ac:dyDescent="0.35">
      <c r="A35" s="7"/>
      <c r="B35" s="3"/>
      <c r="C35" s="10"/>
      <c r="D35" s="12" t="str">
        <f>IF(NOT(ISBLANK($A35)),SUM(B$3:B35)-SUM(C$3:C35),"")</f>
        <v/>
      </c>
      <c r="E35" s="3"/>
      <c r="F35" s="10"/>
      <c r="G35" s="12" t="str">
        <f>IF(NOT(ISBLANK($A35)),SUM(E$3:E35)-SUM(F$3:F35),"")</f>
        <v/>
      </c>
      <c r="H35" s="4"/>
      <c r="I35" s="4"/>
      <c r="J35" s="4"/>
      <c r="K35" s="94" t="str">
        <f>IF(NOT(ISBLANK(A35)),SUMIF($I$3:$I35,$I35,$F$3:$F35),"")</f>
        <v/>
      </c>
    </row>
    <row r="36" spans="1:11" ht="14.45" x14ac:dyDescent="0.35">
      <c r="A36" s="7"/>
      <c r="B36" s="3"/>
      <c r="C36" s="10"/>
      <c r="D36" s="12" t="str">
        <f>IF(NOT(ISBLANK($A36)),SUM(B$3:B36)-SUM(C$3:C36),"")</f>
        <v/>
      </c>
      <c r="E36" s="3"/>
      <c r="F36" s="10"/>
      <c r="G36" s="12" t="str">
        <f>IF(NOT(ISBLANK($A36)),SUM(E$3:E36)-SUM(F$3:F36),"")</f>
        <v/>
      </c>
      <c r="H36" s="4"/>
      <c r="I36" s="4"/>
      <c r="J36" s="4"/>
      <c r="K36" s="94" t="str">
        <f>IF(NOT(ISBLANK(A36)),SUMIF($I$3:$I36,$I36,$F$3:$F36),"")</f>
        <v/>
      </c>
    </row>
    <row r="37" spans="1:11" ht="14.45" x14ac:dyDescent="0.35">
      <c r="A37" s="8"/>
      <c r="B37" s="5"/>
      <c r="C37" s="11"/>
      <c r="D37" s="13" t="str">
        <f>IF(NOT(ISBLANK($A37)),SUM(B$3:B37)-SUM(C$3:C37),"")</f>
        <v/>
      </c>
      <c r="E37" s="5"/>
      <c r="F37" s="11"/>
      <c r="G37" s="13" t="str">
        <f>IF(NOT(ISBLANK($A37)),SUM(E$3:E37)-SUM(F$3:F37),"")</f>
        <v/>
      </c>
      <c r="H37" s="6"/>
      <c r="I37" s="6"/>
      <c r="J37" s="6"/>
      <c r="K37" s="95" t="str">
        <f>IF(NOT(ISBLANK(A37)),SUMIF($I$3:$I37,$I37,$F$3:$F37),"")</f>
        <v/>
      </c>
    </row>
    <row r="38" spans="1:11" thickBot="1" x14ac:dyDescent="0.4">
      <c r="A38" s="8"/>
      <c r="B38" s="5"/>
      <c r="C38" s="11"/>
      <c r="D38" s="13" t="str">
        <f>IF(NOT(ISBLANK($A38)),SUM(B$3:B38)-SUM(C$3:C38),"")</f>
        <v/>
      </c>
      <c r="E38" s="5"/>
      <c r="F38" s="11"/>
      <c r="G38" s="13" t="str">
        <f>IF(NOT(ISBLANK($A38)),SUM(E$3:E38)-SUM(F$3:F38),"")</f>
        <v/>
      </c>
      <c r="H38" s="6"/>
      <c r="I38" s="6"/>
      <c r="J38" s="6"/>
      <c r="K38" s="95" t="str">
        <f>IF(NOT(ISBLANK(A38)),SUMIF($I$3:$I38,$I38,$F$3:$F38),"")</f>
        <v/>
      </c>
    </row>
    <row r="39" spans="1:11" ht="18.95" thickBot="1" x14ac:dyDescent="0.5">
      <c r="A39" s="103"/>
      <c r="B39" s="105" t="s">
        <v>36</v>
      </c>
      <c r="C39" s="104"/>
      <c r="D39" s="106">
        <f>SUM(B$3:B38)-SUM(C$3:C38)</f>
        <v>0</v>
      </c>
      <c r="E39" s="105" t="s">
        <v>36</v>
      </c>
      <c r="F39" s="104"/>
      <c r="G39" s="106">
        <f>SUM(E$3:E38)-SUM(F$3:F38)</f>
        <v>-79.090000000000032</v>
      </c>
      <c r="H39" s="103"/>
      <c r="I39" s="103"/>
      <c r="J39" s="103"/>
      <c r="K39" s="103"/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38">
      <formula1>pets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M41"/>
  <sheetViews>
    <sheetView workbookViewId="0">
      <selection activeCell="M35" sqref="M35"/>
    </sheetView>
  </sheetViews>
  <sheetFormatPr defaultRowHeight="15" x14ac:dyDescent="0.25"/>
  <cols>
    <col min="1" max="1" width="30" bestFit="1" customWidth="1"/>
    <col min="2" max="2" width="10.5703125" bestFit="1" customWidth="1"/>
    <col min="3" max="3" width="9" bestFit="1" customWidth="1"/>
    <col min="4" max="4" width="10.5703125" bestFit="1" customWidth="1"/>
    <col min="5" max="5" width="9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13.85546875" customWidth="1"/>
    <col min="10" max="10" width="16.28515625" bestFit="1" customWidth="1"/>
    <col min="13" max="13" width="22.28515625" bestFit="1" customWidth="1"/>
  </cols>
  <sheetData>
    <row r="1" spans="1:13" x14ac:dyDescent="0.25">
      <c r="A1" s="120" t="s">
        <v>0</v>
      </c>
      <c r="B1" s="122" t="s">
        <v>1</v>
      </c>
      <c r="C1" s="123"/>
      <c r="D1" s="124"/>
      <c r="E1" s="122" t="s">
        <v>2</v>
      </c>
      <c r="F1" s="123"/>
      <c r="G1" s="124"/>
      <c r="H1" s="120" t="s">
        <v>130</v>
      </c>
      <c r="I1" s="120" t="s">
        <v>19</v>
      </c>
      <c r="J1" s="120" t="s">
        <v>131</v>
      </c>
      <c r="K1" s="120" t="s">
        <v>132</v>
      </c>
      <c r="L1" s="120" t="s">
        <v>89</v>
      </c>
      <c r="M1" s="120" t="s">
        <v>160</v>
      </c>
    </row>
    <row r="2" spans="1:13" x14ac:dyDescent="0.25">
      <c r="A2" s="121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21"/>
      <c r="I2" s="121"/>
      <c r="J2" s="121"/>
      <c r="K2" s="121"/>
      <c r="L2" s="121"/>
      <c r="M2" s="121"/>
    </row>
    <row r="3" spans="1:13" ht="14.45" x14ac:dyDescent="0.35">
      <c r="A3" s="8">
        <v>42996</v>
      </c>
      <c r="B3" s="5">
        <v>100</v>
      </c>
      <c r="C3" s="11"/>
      <c r="D3" s="13">
        <f>IF(NOT(ISBLANK($A3)),SUM(B$3:B3)-SUM(C$3:C3),"")</f>
        <v>100</v>
      </c>
      <c r="E3" s="5"/>
      <c r="F3" s="11"/>
      <c r="G3" s="13">
        <f>IF(NOT(ISBLANK($A3)),SUM(E$3:E3)-SUM(F$3:F3),"")</f>
        <v>0</v>
      </c>
      <c r="H3" s="6"/>
      <c r="I3" s="6" t="s">
        <v>9</v>
      </c>
      <c r="J3" s="6"/>
      <c r="K3" s="6"/>
      <c r="L3" s="95">
        <f>IF(NOT(ISBLANK(A3)),SUMIF($J$3:$J3,$J3,$F$3:$F3)-SUMIF($J$3:$J3,$J3,$E$3:$E3),"")</f>
        <v>0</v>
      </c>
      <c r="M3" s="6"/>
    </row>
    <row r="4" spans="1:13" ht="14.45" x14ac:dyDescent="0.35">
      <c r="A4" s="8">
        <v>43009</v>
      </c>
      <c r="B4" s="5"/>
      <c r="C4" s="11"/>
      <c r="D4" s="13">
        <f>IF(NOT(ISBLANK($A4)),SUM(B$3:B4)-SUM(C$3:C4),"")</f>
        <v>100</v>
      </c>
      <c r="E4" s="5"/>
      <c r="F4" s="11">
        <v>14.68</v>
      </c>
      <c r="G4" s="13">
        <f>IF(NOT(ISBLANK($A4)),SUM(E$3:E4)-SUM(F$3:F4),"")</f>
        <v>-14.68</v>
      </c>
      <c r="H4" s="6" t="b">
        <v>1</v>
      </c>
      <c r="I4" s="6" t="s">
        <v>155</v>
      </c>
      <c r="J4" s="6" t="s">
        <v>107</v>
      </c>
      <c r="K4" s="6" t="s">
        <v>136</v>
      </c>
      <c r="L4" s="95">
        <f>IF(NOT(ISBLANK(A4)),SUMIF($J$3:$J4,$J4,$F$3:$F4)-SUMIF($J$3:$J4,$J4,$E$3:$E4),"")</f>
        <v>14.68</v>
      </c>
      <c r="M4" s="6"/>
    </row>
    <row r="5" spans="1:13" ht="14.45" x14ac:dyDescent="0.35">
      <c r="A5" s="7">
        <v>43009</v>
      </c>
      <c r="B5" s="3"/>
      <c r="C5" s="10">
        <v>14.68</v>
      </c>
      <c r="D5" s="12">
        <f>IF(NOT(ISBLANK($A5)),SUM(B$3:B5)-SUM(C$3:C5),"")</f>
        <v>85.32</v>
      </c>
      <c r="E5" s="3">
        <v>14.68</v>
      </c>
      <c r="F5" s="10"/>
      <c r="G5" s="12">
        <f>IF(NOT(ISBLANK($A5)),SUM(E$3:E5)-SUM(F$3:F5),"")</f>
        <v>0</v>
      </c>
      <c r="H5" s="4"/>
      <c r="I5" s="4" t="s">
        <v>18</v>
      </c>
      <c r="J5" s="4"/>
      <c r="K5" s="4"/>
      <c r="L5" s="94">
        <f>IF(NOT(ISBLANK(A5)),SUMIF($J$3:$J5,$J5,$F$3:$F5)-SUMIF($J$3:$J5,$J5,$E$3:$E5),"")</f>
        <v>0</v>
      </c>
      <c r="M5" s="4"/>
    </row>
    <row r="6" spans="1:13" ht="14.45" x14ac:dyDescent="0.35">
      <c r="A6" s="7">
        <v>43010</v>
      </c>
      <c r="B6" s="3">
        <v>0.03</v>
      </c>
      <c r="C6" s="10"/>
      <c r="D6" s="12">
        <f>IF(NOT(ISBLANK($A6)),SUM(B$3:B6)-SUM(C$3:C6),"")</f>
        <v>85.35</v>
      </c>
      <c r="E6" s="3"/>
      <c r="F6" s="10"/>
      <c r="G6" s="12">
        <f>IF(NOT(ISBLANK($A6)),SUM(E$3:E6)-SUM(F$3:F6),"")</f>
        <v>0</v>
      </c>
      <c r="H6" s="4"/>
      <c r="I6" s="4" t="s">
        <v>37</v>
      </c>
      <c r="J6" s="4"/>
      <c r="K6" s="4" t="s">
        <v>37</v>
      </c>
      <c r="L6" s="94">
        <f>IF(NOT(ISBLANK(A6)),SUMIF($J$3:$J6,$J6,$F$3:$F6)-SUMIF($J$3:$J6,$J6,$E$3:$E6),"")</f>
        <v>0</v>
      </c>
      <c r="M6" s="4"/>
    </row>
    <row r="7" spans="1:13" ht="14.45" x14ac:dyDescent="0.35">
      <c r="A7" s="8">
        <v>43011</v>
      </c>
      <c r="B7" s="5">
        <v>100</v>
      </c>
      <c r="C7" s="11"/>
      <c r="D7" s="13">
        <f>IF(NOT(ISBLANK($A7)),SUM(B$3:B7)-SUM(C$3:C7),"")</f>
        <v>185.35</v>
      </c>
      <c r="E7" s="5"/>
      <c r="F7" s="11"/>
      <c r="G7" s="13">
        <f>IF(NOT(ISBLANK($A7)),SUM(E$3:E7)-SUM(F$3:F7),"")</f>
        <v>0</v>
      </c>
      <c r="H7" s="6"/>
      <c r="I7" s="6" t="s">
        <v>9</v>
      </c>
      <c r="J7" s="6"/>
      <c r="K7" s="6" t="s">
        <v>9</v>
      </c>
      <c r="L7" s="95">
        <f>IF(NOT(ISBLANK(A7)),SUMIF($J$3:$J7,$J7,$F$3:$F7)-SUMIF($J$3:$J7,$J7,$E$3:$E7),"")</f>
        <v>0</v>
      </c>
      <c r="M7" s="6"/>
    </row>
    <row r="8" spans="1:13" ht="14.45" x14ac:dyDescent="0.35">
      <c r="A8" s="8">
        <v>43025</v>
      </c>
      <c r="B8" s="5"/>
      <c r="C8" s="11">
        <v>8.43</v>
      </c>
      <c r="D8" s="13">
        <f>IF(NOT(ISBLANK($A8)),SUM(B$3:B8)-SUM(C$3:C8),"")</f>
        <v>176.92000000000002</v>
      </c>
      <c r="E8" s="5">
        <v>8.43</v>
      </c>
      <c r="F8" s="11"/>
      <c r="G8" s="13">
        <f>IF(NOT(ISBLANK($A8)),SUM(E$3:E8)-SUM(F$3:F8),"")</f>
        <v>8.43</v>
      </c>
      <c r="H8" s="6"/>
      <c r="I8" s="6" t="s">
        <v>18</v>
      </c>
      <c r="J8" s="6"/>
      <c r="K8" s="6"/>
      <c r="L8" s="95">
        <f>IF(NOT(ISBLANK(A8)),SUMIF($J$3:$J8,$J8,$F$3:$F8)-SUMIF($J$3:$J8,$J8,$E$3:$E8),"")</f>
        <v>0</v>
      </c>
      <c r="M8" s="6" t="s">
        <v>161</v>
      </c>
    </row>
    <row r="9" spans="1:13" ht="14.45" x14ac:dyDescent="0.35">
      <c r="A9" s="7">
        <v>43026</v>
      </c>
      <c r="B9" s="3">
        <v>100</v>
      </c>
      <c r="C9" s="10"/>
      <c r="D9" s="12">
        <f>IF(NOT(ISBLANK($A9)),SUM(B$3:B9)-SUM(C$3:C9),"")</f>
        <v>276.91999999999996</v>
      </c>
      <c r="E9" s="3"/>
      <c r="F9" s="10"/>
      <c r="G9" s="12">
        <f>IF(NOT(ISBLANK($A9)),SUM(E$3:E9)-SUM(F$3:F9),"")</f>
        <v>8.43</v>
      </c>
      <c r="H9" s="4"/>
      <c r="I9" s="4" t="s">
        <v>9</v>
      </c>
      <c r="J9" s="4"/>
      <c r="K9" s="4" t="s">
        <v>9</v>
      </c>
      <c r="L9" s="94">
        <f>IF(NOT(ISBLANK(A9)),SUMIF($J$3:$J9,$J9,$F$3:$F9)-SUMIF($J$3:$J9,$J9,$E$3:$E9),"")</f>
        <v>0</v>
      </c>
      <c r="M9" s="4"/>
    </row>
    <row r="10" spans="1:13" ht="14.45" x14ac:dyDescent="0.35">
      <c r="A10" s="7">
        <v>43026</v>
      </c>
      <c r="B10" s="3"/>
      <c r="C10" s="10"/>
      <c r="D10" s="12">
        <f>IF(NOT(ISBLANK($A10)),SUM(B$3:B10)-SUM(C$3:C10),"")</f>
        <v>276.91999999999996</v>
      </c>
      <c r="E10" s="3"/>
      <c r="F10" s="10">
        <v>8.43</v>
      </c>
      <c r="G10" s="12">
        <f>IF(NOT(ISBLANK($A10)),SUM(E$3:E10)-SUM(F$3:F10),"")</f>
        <v>0</v>
      </c>
      <c r="H10" s="4"/>
      <c r="I10" s="4" t="s">
        <v>155</v>
      </c>
      <c r="J10" s="4" t="s">
        <v>135</v>
      </c>
      <c r="K10" s="4" t="s">
        <v>156</v>
      </c>
      <c r="L10" s="94">
        <f>IF(NOT(ISBLANK(A10)),SUMIF($J$3:$J10,$J10,$F$3:$F10)-SUMIF($J$3:$J10,$J10,$E$3:$E10),"")</f>
        <v>8.43</v>
      </c>
      <c r="M10" s="4"/>
    </row>
    <row r="11" spans="1:13" ht="14.45" x14ac:dyDescent="0.35">
      <c r="A11" s="8">
        <v>43028</v>
      </c>
      <c r="B11" s="5"/>
      <c r="C11" s="11"/>
      <c r="D11" s="13">
        <f>IF(NOT(ISBLANK($A11)),SUM(B$3:B11)-SUM(C$3:C11),"")</f>
        <v>276.91999999999996</v>
      </c>
      <c r="E11" s="5"/>
      <c r="F11" s="11">
        <v>220.72</v>
      </c>
      <c r="G11" s="13">
        <f>IF(NOT(ISBLANK($A11)),SUM(E$3:E11)-SUM(F$3:F11),"")</f>
        <v>-220.71999999999997</v>
      </c>
      <c r="H11" s="6"/>
      <c r="I11" s="6" t="s">
        <v>155</v>
      </c>
      <c r="J11" s="6" t="s">
        <v>157</v>
      </c>
      <c r="K11" s="6" t="s">
        <v>158</v>
      </c>
      <c r="L11" s="95">
        <f>IF(NOT(ISBLANK(A11)),SUMIF($J$3:$J11,$J11,$F$3:$F11)-SUMIF($J$3:$J11,$J11,$E$3:$E11),"")</f>
        <v>220.72</v>
      </c>
      <c r="M11" s="6"/>
    </row>
    <row r="12" spans="1:13" ht="14.45" x14ac:dyDescent="0.35">
      <c r="A12" s="8">
        <v>43028</v>
      </c>
      <c r="B12" s="5"/>
      <c r="C12" s="11"/>
      <c r="D12" s="13">
        <f>IF(NOT(ISBLANK($A12)),SUM(B$3:B12)-SUM(C$3:C12),"")</f>
        <v>276.91999999999996</v>
      </c>
      <c r="E12" s="5"/>
      <c r="F12" s="11">
        <v>108.41</v>
      </c>
      <c r="G12" s="13">
        <f>IF(NOT(ISBLANK($A12)),SUM(E$3:E12)-SUM(F$3:F12),"")</f>
        <v>-329.13</v>
      </c>
      <c r="H12" s="6"/>
      <c r="I12" s="6" t="s">
        <v>155</v>
      </c>
      <c r="J12" s="6" t="s">
        <v>157</v>
      </c>
      <c r="K12" s="6" t="s">
        <v>158</v>
      </c>
      <c r="L12" s="95">
        <f>IF(NOT(ISBLANK(A12)),SUMIF($J$3:$J12,$J12,$F$3:$F12)-SUMIF($J$3:$J12,$J12,$E$3:$E12),"")</f>
        <v>329.13</v>
      </c>
      <c r="M12" s="6"/>
    </row>
    <row r="13" spans="1:13" ht="14.45" x14ac:dyDescent="0.35">
      <c r="A13" s="7">
        <v>43028</v>
      </c>
      <c r="B13" s="3"/>
      <c r="C13" s="10">
        <v>8.43</v>
      </c>
      <c r="D13" s="12">
        <f>IF(NOT(ISBLANK($A13)),SUM(B$3:B13)-SUM(C$3:C13),"")</f>
        <v>268.48999999999995</v>
      </c>
      <c r="E13" s="3">
        <v>8.43</v>
      </c>
      <c r="F13" s="10"/>
      <c r="G13" s="12">
        <f>IF(NOT(ISBLANK($A13)),SUM(E$3:E13)-SUM(F$3:F13),"")</f>
        <v>-320.7</v>
      </c>
      <c r="H13" s="4"/>
      <c r="I13" s="4" t="s">
        <v>18</v>
      </c>
      <c r="J13" s="4"/>
      <c r="K13" s="4"/>
      <c r="L13" s="94">
        <f>IF(NOT(ISBLANK(A13)),SUMIF($J$3:$J13,$J13,$F$3:$F13)-SUMIF($J$3:$J13,$J13,$E$3:$E13),"")</f>
        <v>0</v>
      </c>
      <c r="M13" s="4"/>
    </row>
    <row r="14" spans="1:13" ht="14.45" x14ac:dyDescent="0.35">
      <c r="A14" s="7">
        <v>43029</v>
      </c>
      <c r="B14" s="3"/>
      <c r="C14" s="10"/>
      <c r="D14" s="12">
        <f>IF(NOT(ISBLANK($A14)),SUM(B$3:B14)-SUM(C$3:C14),"")</f>
        <v>268.48999999999995</v>
      </c>
      <c r="E14" s="3">
        <v>10.11</v>
      </c>
      <c r="F14" s="10"/>
      <c r="G14" s="12">
        <f>IF(NOT(ISBLANK($A14)),SUM(E$3:E14)-SUM(F$3:F14),"")</f>
        <v>-310.59000000000003</v>
      </c>
      <c r="H14" s="4"/>
      <c r="I14" s="4" t="s">
        <v>159</v>
      </c>
      <c r="J14" s="4" t="s">
        <v>157</v>
      </c>
      <c r="K14" s="4" t="s">
        <v>158</v>
      </c>
      <c r="L14" s="94">
        <f>IF(NOT(ISBLANK(A14)),SUMIF($J$3:$J14,$J14,$F$3:$F14)-SUMIF($J$3:$J14,$J14,$E$3:$E14),"")</f>
        <v>319.02</v>
      </c>
      <c r="M14" s="4"/>
    </row>
    <row r="15" spans="1:13" ht="14.45" x14ac:dyDescent="0.35">
      <c r="A15" s="8">
        <v>43031</v>
      </c>
      <c r="B15" s="5"/>
      <c r="C15" s="11">
        <v>220.72</v>
      </c>
      <c r="D15" s="13">
        <f>IF(NOT(ISBLANK($A15)),SUM(B$3:B15)-SUM(C$3:C15),"")</f>
        <v>47.769999999999982</v>
      </c>
      <c r="E15" s="5">
        <v>220.72</v>
      </c>
      <c r="F15" s="11"/>
      <c r="G15" s="13">
        <f>IF(NOT(ISBLANK($A15)),SUM(E$3:E15)-SUM(F$3:F15),"")</f>
        <v>-89.87</v>
      </c>
      <c r="H15" s="6"/>
      <c r="I15" s="6" t="s">
        <v>18</v>
      </c>
      <c r="J15" s="6"/>
      <c r="K15" s="6"/>
      <c r="L15" s="95">
        <f>IF(NOT(ISBLANK(A15)),SUMIF($J$3:$J15,$J15,$F$3:$F15)-SUMIF($J$3:$J15,$J15,$E$3:$E15),"")</f>
        <v>0</v>
      </c>
      <c r="M15" s="6"/>
    </row>
    <row r="16" spans="1:13" ht="14.45" x14ac:dyDescent="0.35">
      <c r="A16" s="8">
        <v>43040</v>
      </c>
      <c r="B16" s="5">
        <v>0.1</v>
      </c>
      <c r="C16" s="11"/>
      <c r="D16" s="13">
        <f>IF(NOT(ISBLANK($A16)),SUM(B$3:B16)-SUM(C$3:C16),"")</f>
        <v>47.870000000000005</v>
      </c>
      <c r="E16" s="5"/>
      <c r="F16" s="11"/>
      <c r="G16" s="13">
        <f>IF(NOT(ISBLANK($A16)),SUM(E$3:E16)-SUM(F$3:F16),"")</f>
        <v>-89.87</v>
      </c>
      <c r="H16" s="6"/>
      <c r="I16" s="6" t="s">
        <v>37</v>
      </c>
      <c r="J16" s="6"/>
      <c r="K16" s="6"/>
      <c r="L16" s="95">
        <f>IF(NOT(ISBLANK(A16)),SUMIF($J$3:$J16,$J16,$F$3:$F16)-SUMIF($J$3:$J16,$J16,$E$3:$E16),"")</f>
        <v>0</v>
      </c>
      <c r="M16" s="6"/>
    </row>
    <row r="17" spans="1:13" ht="14.45" x14ac:dyDescent="0.35">
      <c r="A17" s="7">
        <v>43041</v>
      </c>
      <c r="B17" s="3">
        <v>100</v>
      </c>
      <c r="C17" s="10"/>
      <c r="D17" s="12">
        <f>IF(NOT(ISBLANK($A17)),SUM(B$3:B17)-SUM(C$3:C17),"")</f>
        <v>147.87</v>
      </c>
      <c r="E17" s="3"/>
      <c r="F17" s="10"/>
      <c r="G17" s="12">
        <f>IF(NOT(ISBLANK($A17)),SUM(E$3:E17)-SUM(F$3:F17),"")</f>
        <v>-89.87</v>
      </c>
      <c r="H17" s="4"/>
      <c r="I17" s="4" t="s">
        <v>9</v>
      </c>
      <c r="J17" s="4"/>
      <c r="K17" s="4"/>
      <c r="L17" s="94">
        <f>IF(NOT(ISBLANK(A17)),SUMIF($J$3:$J17,$J17,$F$3:$F17)-SUMIF($J$3:$J17,$J17,$E$3:$E17),"")</f>
        <v>0</v>
      </c>
      <c r="M17" s="4"/>
    </row>
    <row r="18" spans="1:13" ht="14.45" x14ac:dyDescent="0.35">
      <c r="A18" s="7">
        <v>43044</v>
      </c>
      <c r="B18" s="3"/>
      <c r="C18" s="10">
        <v>89.87</v>
      </c>
      <c r="D18" s="12">
        <f>IF(NOT(ISBLANK($A18)),SUM(B$3:B18)-SUM(C$3:C18),"")</f>
        <v>58</v>
      </c>
      <c r="E18" s="3">
        <v>89.87</v>
      </c>
      <c r="F18" s="10"/>
      <c r="G18" s="12">
        <f>IF(NOT(ISBLANK($A18)),SUM(E$3:E18)-SUM(F$3:F18),"")</f>
        <v>0</v>
      </c>
      <c r="H18" s="4"/>
      <c r="I18" s="4" t="s">
        <v>18</v>
      </c>
      <c r="J18" s="4"/>
      <c r="K18" s="4"/>
      <c r="L18" s="94">
        <f>IF(NOT(ISBLANK(A18)),SUMIF($J$3:$J18,$J18,$F$3:$F18)-SUMIF($J$3:$J18,$J18,$E$3:$E18),"")</f>
        <v>0</v>
      </c>
      <c r="M18" s="4"/>
    </row>
    <row r="19" spans="1:13" ht="14.45" x14ac:dyDescent="0.35">
      <c r="A19" s="8">
        <v>43049</v>
      </c>
      <c r="B19" s="5"/>
      <c r="C19" s="11"/>
      <c r="D19" s="13">
        <f>IF(NOT(ISBLANK($A19)),SUM(B$3:B19)-SUM(C$3:C19),"")</f>
        <v>58</v>
      </c>
      <c r="E19" s="5"/>
      <c r="F19" s="11">
        <v>17.989999999999998</v>
      </c>
      <c r="G19" s="13">
        <f>IF(NOT(ISBLANK($A19)),SUM(E$3:E19)-SUM(F$3:F19),"")</f>
        <v>-17.990000000000009</v>
      </c>
      <c r="H19" s="6"/>
      <c r="I19" s="6" t="s">
        <v>155</v>
      </c>
      <c r="J19" s="6" t="s">
        <v>187</v>
      </c>
      <c r="K19" s="6" t="s">
        <v>188</v>
      </c>
      <c r="L19" s="95">
        <f>IF(NOT(ISBLANK(A19)),SUMIF($J$3:$J19,$J19,$F$3:$F19)-SUMIF($J$3:$J19,$J19,$E$3:$E19),"")</f>
        <v>17.989999999999998</v>
      </c>
      <c r="M19" s="6"/>
    </row>
    <row r="20" spans="1:13" ht="14.45" x14ac:dyDescent="0.35">
      <c r="A20" s="8">
        <v>43056</v>
      </c>
      <c r="B20" s="5">
        <v>100</v>
      </c>
      <c r="C20" s="11"/>
      <c r="D20" s="13">
        <f>IF(NOT(ISBLANK($A20)),SUM(B$3:B20)-SUM(C$3:C20),"")</f>
        <v>158</v>
      </c>
      <c r="E20" s="5"/>
      <c r="F20" s="11"/>
      <c r="G20" s="13">
        <f>IF(NOT(ISBLANK($A20)),SUM(E$3:E20)-SUM(F$3:F20),"")</f>
        <v>-17.990000000000009</v>
      </c>
      <c r="H20" s="6"/>
      <c r="I20" s="6" t="s">
        <v>9</v>
      </c>
      <c r="J20" s="6"/>
      <c r="K20" s="6"/>
      <c r="L20" s="95">
        <f>IF(NOT(ISBLANK(A20)),SUMIF($J$3:$J20,$J20,$F$3:$F20)-SUMIF($J$3:$J20,$J20,$E$3:$E20),"")</f>
        <v>0</v>
      </c>
      <c r="M20" s="6"/>
    </row>
    <row r="21" spans="1:13" ht="14.45" x14ac:dyDescent="0.35">
      <c r="A21" s="7">
        <v>43070</v>
      </c>
      <c r="B21" s="3">
        <v>7.0000000000000007E-2</v>
      </c>
      <c r="C21" s="10"/>
      <c r="D21" s="12">
        <f>IF(NOT(ISBLANK($A21)),SUM(B$3:B21)-SUM(C$3:C21),"")</f>
        <v>158.07</v>
      </c>
      <c r="E21" s="3"/>
      <c r="F21" s="10"/>
      <c r="G21" s="12">
        <f>IF(NOT(ISBLANK($A21)),SUM(E$3:E21)-SUM(F$3:F21),"")</f>
        <v>-17.990000000000009</v>
      </c>
      <c r="H21" s="4"/>
      <c r="I21" s="4" t="s">
        <v>37</v>
      </c>
      <c r="J21" s="4"/>
      <c r="K21" s="4"/>
      <c r="L21" s="94">
        <f>IF(NOT(ISBLANK(A21)),SUMIF($J$3:$J21,$J21,$F$3:$F21)-SUMIF($J$3:$J21,$J21,$E$3:$E21),"")</f>
        <v>0</v>
      </c>
      <c r="M21" s="4"/>
    </row>
    <row r="22" spans="1:13" ht="14.45" x14ac:dyDescent="0.35">
      <c r="A22" s="7">
        <v>43071</v>
      </c>
      <c r="B22" s="3"/>
      <c r="C22" s="10">
        <v>17.989999999999998</v>
      </c>
      <c r="D22" s="12">
        <f>IF(NOT(ISBLANK($A22)),SUM(B$3:B22)-SUM(C$3:C22),"")</f>
        <v>140.07999999999998</v>
      </c>
      <c r="E22" s="3">
        <v>17.989999999999998</v>
      </c>
      <c r="F22" s="10"/>
      <c r="G22" s="12">
        <f>IF(NOT(ISBLANK($A22)),SUM(E$3:E22)-SUM(F$3:F22),"")</f>
        <v>0</v>
      </c>
      <c r="H22" s="4"/>
      <c r="I22" s="4" t="s">
        <v>18</v>
      </c>
      <c r="J22" s="4"/>
      <c r="K22" s="4"/>
      <c r="L22" s="94">
        <f>IF(NOT(ISBLANK(A22)),SUMIF($J$3:$J22,$J22,$F$3:$F22)-SUMIF($J$3:$J22,$J22,$E$3:$E22),"")</f>
        <v>0</v>
      </c>
      <c r="M22" s="4"/>
    </row>
    <row r="23" spans="1:13" ht="14.45" x14ac:dyDescent="0.35">
      <c r="A23" s="8">
        <v>43072</v>
      </c>
      <c r="B23" s="5"/>
      <c r="C23" s="11">
        <v>39.549999999999997</v>
      </c>
      <c r="D23" s="13">
        <f>IF(NOT(ISBLANK($A23)),SUM(B$3:B23)-SUM(C$3:C23),"")</f>
        <v>100.52999999999997</v>
      </c>
      <c r="E23" s="5">
        <v>39.549999999999997</v>
      </c>
      <c r="F23" s="11"/>
      <c r="G23" s="13">
        <f>IF(NOT(ISBLANK($A23)),SUM(E$3:E23)-SUM(F$3:F23),"")</f>
        <v>39.550000000000011</v>
      </c>
      <c r="H23" s="6"/>
      <c r="I23" s="6" t="s">
        <v>18</v>
      </c>
      <c r="J23" s="6"/>
      <c r="K23" s="6"/>
      <c r="L23" s="95">
        <f>IF(NOT(ISBLANK(A23)),SUMIF($J$3:$J23,$J23,$F$3:$F23)-SUMIF($J$3:$J23,$J23,$E$3:$E23),"")</f>
        <v>0</v>
      </c>
      <c r="M23" s="6"/>
    </row>
    <row r="24" spans="1:13" ht="14.45" x14ac:dyDescent="0.35">
      <c r="A24" s="8">
        <v>43072</v>
      </c>
      <c r="B24" s="5"/>
      <c r="C24" s="11"/>
      <c r="D24" s="13">
        <f>IF(NOT(ISBLANK($A24)),SUM(B$3:B24)-SUM(C$3:C24),"")</f>
        <v>100.52999999999997</v>
      </c>
      <c r="E24" s="5"/>
      <c r="F24" s="11">
        <v>39.549999999999997</v>
      </c>
      <c r="G24" s="13">
        <f>IF(NOT(ISBLANK($A24)),SUM(E$3:E24)-SUM(F$3:F24),"")</f>
        <v>0</v>
      </c>
      <c r="H24" s="6"/>
      <c r="I24" s="6" t="s">
        <v>155</v>
      </c>
      <c r="J24" s="6" t="s">
        <v>106</v>
      </c>
      <c r="K24" s="6" t="s">
        <v>236</v>
      </c>
      <c r="L24" s="95">
        <f>IF(NOT(ISBLANK(A24)),SUMIF($J$3:$J24,$J24,$F$3:$F24)-SUMIF($J$3:$J24,$J24,$E$3:$E24),"")</f>
        <v>39.549999999999997</v>
      </c>
      <c r="M24" s="6"/>
    </row>
    <row r="25" spans="1:13" ht="14.45" x14ac:dyDescent="0.35">
      <c r="A25" s="7">
        <v>43073</v>
      </c>
      <c r="B25" s="3">
        <v>100</v>
      </c>
      <c r="C25" s="10"/>
      <c r="D25" s="12">
        <f>IF(NOT(ISBLANK($A25)),SUM(B$3:B25)-SUM(C$3:C25),"")</f>
        <v>200.53000000000003</v>
      </c>
      <c r="E25" s="3"/>
      <c r="F25" s="10"/>
      <c r="G25" s="12">
        <f>IF(NOT(ISBLANK($A25)),SUM(E$3:E25)-SUM(F$3:F25),"")</f>
        <v>0</v>
      </c>
      <c r="H25" s="4"/>
      <c r="I25" s="4" t="s">
        <v>9</v>
      </c>
      <c r="J25" s="4"/>
      <c r="K25" s="4"/>
      <c r="L25" s="94">
        <f>IF(NOT(ISBLANK(A25)),SUMIF($J$3:$J25,$J25,$F$3:$F25)-SUMIF($J$3:$J25,$J25,$E$3:$E25),"")</f>
        <v>0</v>
      </c>
      <c r="M25" s="4"/>
    </row>
    <row r="26" spans="1:13" ht="14.45" x14ac:dyDescent="0.35">
      <c r="A26" s="7">
        <v>43085</v>
      </c>
      <c r="B26" s="3"/>
      <c r="C26" s="10"/>
      <c r="D26" s="12">
        <f>IF(NOT(ISBLANK($A26)),SUM(B$3:B26)-SUM(C$3:C26),"")</f>
        <v>200.53000000000003</v>
      </c>
      <c r="E26" s="3"/>
      <c r="F26" s="10">
        <v>282.5</v>
      </c>
      <c r="G26" s="12">
        <f>IF(NOT(ISBLANK($A26)),SUM(E$3:E26)-SUM(F$3:F26),"")</f>
        <v>-282.49999999999994</v>
      </c>
      <c r="H26" s="4"/>
      <c r="I26" s="4" t="s">
        <v>155</v>
      </c>
      <c r="J26" s="4" t="s">
        <v>133</v>
      </c>
      <c r="K26" s="4" t="s">
        <v>238</v>
      </c>
      <c r="L26" s="94">
        <f>IF(NOT(ISBLANK(A26)),SUMIF($J$3:$J26,$J26,$F$3:$F26)-SUMIF($J$3:$J26,$J26,$E$3:$E26),"")</f>
        <v>282.5</v>
      </c>
      <c r="M26" s="4"/>
    </row>
    <row r="27" spans="1:13" ht="14.45" x14ac:dyDescent="0.35">
      <c r="A27" s="8">
        <v>43085</v>
      </c>
      <c r="B27" s="5"/>
      <c r="C27" s="11"/>
      <c r="D27" s="13">
        <f>IF(NOT(ISBLANK($A27)),SUM(B$3:B27)-SUM(C$3:C27),"")</f>
        <v>200.53000000000003</v>
      </c>
      <c r="E27" s="5"/>
      <c r="F27" s="11">
        <v>119.7</v>
      </c>
      <c r="G27" s="13">
        <f>IF(NOT(ISBLANK($A27)),SUM(E$3:E27)-SUM(F$3:F27),"")</f>
        <v>-402.2</v>
      </c>
      <c r="H27" s="6"/>
      <c r="I27" s="6" t="s">
        <v>155</v>
      </c>
      <c r="J27" s="6" t="s">
        <v>157</v>
      </c>
      <c r="K27" s="6"/>
      <c r="L27" s="95">
        <f>IF(NOT(ISBLANK(A27)),SUMIF($J$3:$J27,$J27,$F$3:$F27)-SUMIF($J$3:$J27,$J27,$E$3:$E27),"")</f>
        <v>438.71999999999997</v>
      </c>
      <c r="M27" s="6"/>
    </row>
    <row r="28" spans="1:13" ht="14.45" x14ac:dyDescent="0.35">
      <c r="A28" s="8">
        <v>43087</v>
      </c>
      <c r="B28" s="5">
        <v>100</v>
      </c>
      <c r="C28" s="11"/>
      <c r="D28" s="13">
        <f>IF(NOT(ISBLANK($A28)),SUM(B$3:B28)-SUM(C$3:C28),"")</f>
        <v>300.53000000000003</v>
      </c>
      <c r="E28" s="5"/>
      <c r="F28" s="11"/>
      <c r="G28" s="13">
        <f>IF(NOT(ISBLANK($A28)),SUM(E$3:E28)-SUM(F$3:F28),"")</f>
        <v>-402.2</v>
      </c>
      <c r="H28" s="6"/>
      <c r="I28" s="6" t="s">
        <v>9</v>
      </c>
      <c r="J28" s="6"/>
      <c r="K28" s="6"/>
      <c r="L28" s="95">
        <f>IF(NOT(ISBLANK(A28)),SUMIF($J$3:$J28,$J28,$F$3:$F28)-SUMIF($J$3:$J28,$J28,$E$3:$E28),"")</f>
        <v>0</v>
      </c>
      <c r="M28" s="6"/>
    </row>
    <row r="29" spans="1:13" ht="14.45" x14ac:dyDescent="0.35">
      <c r="A29" s="7">
        <v>43087</v>
      </c>
      <c r="B29" s="3"/>
      <c r="C29" s="10">
        <v>282.5</v>
      </c>
      <c r="D29" s="12">
        <f>IF(NOT(ISBLANK($A29)),SUM(B$3:B29)-SUM(C$3:C29),"")</f>
        <v>18.029999999999973</v>
      </c>
      <c r="E29" s="3">
        <v>282.5</v>
      </c>
      <c r="F29" s="10"/>
      <c r="G29" s="12">
        <f>IF(NOT(ISBLANK($A29)),SUM(E$3:E29)-SUM(F$3:F29),"")</f>
        <v>-119.70000000000005</v>
      </c>
      <c r="H29" s="4"/>
      <c r="I29" s="4" t="s">
        <v>18</v>
      </c>
      <c r="J29" s="4"/>
      <c r="K29" s="4"/>
      <c r="L29" s="94">
        <f>IF(NOT(ISBLANK(A29)),SUMIF($J$3:$J29,$J29,$F$3:$F29)-SUMIF($J$3:$J29,$J29,$E$3:$E29),"")</f>
        <v>0</v>
      </c>
      <c r="M29" s="4"/>
    </row>
    <row r="30" spans="1:13" ht="14.45" x14ac:dyDescent="0.35">
      <c r="A30" s="7">
        <v>43088</v>
      </c>
      <c r="B30" s="3"/>
      <c r="C30" s="10"/>
      <c r="D30" s="12">
        <f>IF(NOT(ISBLANK($A30)),SUM(B$3:B30)-SUM(C$3:C30),"")</f>
        <v>18.029999999999973</v>
      </c>
      <c r="E30" s="3"/>
      <c r="F30" s="10">
        <v>79</v>
      </c>
      <c r="G30" s="12">
        <f>IF(NOT(ISBLANK($A30)),SUM(E$3:E30)-SUM(F$3:F30),"")</f>
        <v>-198.70000000000005</v>
      </c>
      <c r="H30" s="4"/>
      <c r="I30" s="4" t="s">
        <v>155</v>
      </c>
      <c r="J30" s="4" t="s">
        <v>133</v>
      </c>
      <c r="K30" s="4"/>
      <c r="L30" s="94">
        <f>IF(NOT(ISBLANK(A30)),SUMIF($J$3:$J30,$J30,$F$3:$F30)-SUMIF($J$3:$J30,$J30,$E$3:$E30),"")</f>
        <v>361.5</v>
      </c>
      <c r="M30" s="4"/>
    </row>
    <row r="31" spans="1:13" ht="14.45" x14ac:dyDescent="0.35">
      <c r="A31" s="8">
        <v>43088</v>
      </c>
      <c r="B31" s="5"/>
      <c r="C31" s="11"/>
      <c r="D31" s="13">
        <f>IF(NOT(ISBLANK($A31)),SUM(B$3:B31)-SUM(C$3:C31),"")</f>
        <v>18.029999999999973</v>
      </c>
      <c r="E31" s="5"/>
      <c r="F31" s="11">
        <v>47.46</v>
      </c>
      <c r="G31" s="13">
        <f>IF(NOT(ISBLANK($A31)),SUM(E$3:E31)-SUM(F$3:F31),"")</f>
        <v>-246.16000000000008</v>
      </c>
      <c r="H31" s="6"/>
      <c r="I31" s="6" t="s">
        <v>155</v>
      </c>
      <c r="J31" s="6" t="s">
        <v>133</v>
      </c>
      <c r="K31" s="6"/>
      <c r="L31" s="95">
        <f>IF(NOT(ISBLANK(A31)),SUMIF($J$3:$J31,$J31,$F$3:$F31)-SUMIF($J$3:$J31,$J31,$E$3:$E31),"")</f>
        <v>408.96</v>
      </c>
      <c r="M31" s="6"/>
    </row>
    <row r="32" spans="1:13" x14ac:dyDescent="0.25">
      <c r="A32" s="8">
        <v>43088</v>
      </c>
      <c r="B32" s="5"/>
      <c r="C32" s="11"/>
      <c r="D32" s="13">
        <f>IF(NOT(ISBLANK($A32)),SUM(B$3:B32)-SUM(C$3:C32),"")</f>
        <v>18.029999999999973</v>
      </c>
      <c r="E32" s="5">
        <v>11.3</v>
      </c>
      <c r="F32" s="11"/>
      <c r="G32" s="13">
        <f>IF(NOT(ISBLANK($A32)),SUM(E$3:E32)-SUM(F$3:F32),"")</f>
        <v>-234.86000000000013</v>
      </c>
      <c r="H32" s="6"/>
      <c r="I32" s="6" t="s">
        <v>155</v>
      </c>
      <c r="J32" s="6" t="s">
        <v>133</v>
      </c>
      <c r="K32" s="6"/>
      <c r="L32" s="95">
        <f>IF(NOT(ISBLANK(A32)),SUMIF($J$3:$J32,$J32,$F$3:$F32)-SUMIF($J$3:$J32,$J32,$E$3:$E32),"")</f>
        <v>397.65999999999997</v>
      </c>
      <c r="M32" s="6" t="s">
        <v>242</v>
      </c>
    </row>
    <row r="33" spans="1:13" x14ac:dyDescent="0.25">
      <c r="A33" s="7">
        <v>43090</v>
      </c>
      <c r="B33" s="3"/>
      <c r="C33" s="10"/>
      <c r="D33" s="12">
        <f>IF(NOT(ISBLANK($A33)),SUM(B$3:B33)-SUM(C$3:C33),"")</f>
        <v>18.029999999999973</v>
      </c>
      <c r="E33" s="3"/>
      <c r="F33" s="10">
        <v>21.35</v>
      </c>
      <c r="G33" s="12">
        <f>IF(NOT(ISBLANK($A33)),SUM(E$3:E33)-SUM(F$3:F33),"")</f>
        <v>-256.21000000000015</v>
      </c>
      <c r="H33" s="4"/>
      <c r="I33" s="4" t="s">
        <v>155</v>
      </c>
      <c r="J33" s="4" t="s">
        <v>157</v>
      </c>
      <c r="K33" s="4"/>
      <c r="L33" s="94">
        <f>IF(NOT(ISBLANK(A33)),SUMIF($J$3:$J33,$J33,$F$3:$F33)-SUMIF($J$3:$J33,$J33,$E$3:$E33),"")</f>
        <v>460.07</v>
      </c>
      <c r="M33" s="4"/>
    </row>
    <row r="34" spans="1:13" x14ac:dyDescent="0.25">
      <c r="A34" s="7">
        <v>43093</v>
      </c>
      <c r="B34" s="3"/>
      <c r="C34" s="10"/>
      <c r="D34" s="12">
        <f>IF(NOT(ISBLANK($A34)),SUM(B$3:B34)-SUM(C$3:C34),"")</f>
        <v>18.029999999999973</v>
      </c>
      <c r="E34" s="3"/>
      <c r="F34" s="10">
        <v>75</v>
      </c>
      <c r="G34" s="12">
        <f>IF(NOT(ISBLANK($A34)),SUM(E$3:E34)-SUM(F$3:F34),"")</f>
        <v>-331.21000000000004</v>
      </c>
      <c r="H34" s="4"/>
      <c r="I34" s="4" t="s">
        <v>155</v>
      </c>
      <c r="J34" s="4" t="s">
        <v>107</v>
      </c>
      <c r="K34" s="4"/>
      <c r="L34" s="94">
        <f>IF(NOT(ISBLANK(A34)),SUMIF($J$3:$J34,$J34,$F$3:$F34)-SUMIF($J$3:$J34,$J34,$E$3:$E34),"")</f>
        <v>89.68</v>
      </c>
      <c r="M34" s="4" t="s">
        <v>245</v>
      </c>
    </row>
    <row r="35" spans="1:13" x14ac:dyDescent="0.25">
      <c r="A35" s="8">
        <v>43095</v>
      </c>
      <c r="B35" s="5"/>
      <c r="C35" s="11"/>
      <c r="D35" s="13">
        <f>IF(NOT(ISBLANK($A35)),SUM(B$3:B35)-SUM(C$3:C35),"")</f>
        <v>18.029999999999973</v>
      </c>
      <c r="E35" s="5"/>
      <c r="F35" s="11">
        <v>6.49</v>
      </c>
      <c r="G35" s="13">
        <f>IF(NOT(ISBLANK($A35)),SUM(E$3:E35)-SUM(F$3:F35),"")</f>
        <v>-337.70000000000005</v>
      </c>
      <c r="H35" s="6"/>
      <c r="I35" s="6" t="s">
        <v>155</v>
      </c>
      <c r="J35" s="6" t="s">
        <v>106</v>
      </c>
      <c r="K35" s="6"/>
      <c r="L35" s="95">
        <f>IF(NOT(ISBLANK(A35)),SUMIF($J$3:$J35,$J35,$F$3:$F35)-SUMIF($J$3:$J35,$J35,$E$3:$E35),"")</f>
        <v>46.04</v>
      </c>
      <c r="M35" s="6"/>
    </row>
    <row r="36" spans="1:13" x14ac:dyDescent="0.25">
      <c r="A36" s="8"/>
      <c r="B36" s="5"/>
      <c r="C36" s="11"/>
      <c r="D36" s="13" t="str">
        <f>IF(NOT(ISBLANK($A36)),SUM(B$3:B36)-SUM(C$3:C36),"")</f>
        <v/>
      </c>
      <c r="E36" s="5"/>
      <c r="F36" s="11"/>
      <c r="G36" s="13" t="str">
        <f>IF(NOT(ISBLANK($A36)),SUM(E$3:E36)-SUM(F$3:F36),"")</f>
        <v/>
      </c>
      <c r="H36" s="6"/>
      <c r="I36" s="6"/>
      <c r="J36" s="6"/>
      <c r="K36" s="6"/>
      <c r="L36" s="95" t="str">
        <f>IF(NOT(ISBLANK(A36)),SUMIF($J$3:$J36,$J36,$F$3:$F36)-SUMIF($J$3:$J36,$J36,$E$3:$E36),"")</f>
        <v/>
      </c>
      <c r="M36" s="6"/>
    </row>
    <row r="37" spans="1:13" x14ac:dyDescent="0.25">
      <c r="A37" s="7"/>
      <c r="B37" s="3"/>
      <c r="C37" s="10"/>
      <c r="D37" s="12" t="str">
        <f>IF(NOT(ISBLANK($A37)),SUM(B$3:B37)-SUM(C$3:C37),"")</f>
        <v/>
      </c>
      <c r="E37" s="3"/>
      <c r="F37" s="10"/>
      <c r="G37" s="12" t="str">
        <f>IF(NOT(ISBLANK($A37)),SUM(E$3:E37)-SUM(F$3:F37),"")</f>
        <v/>
      </c>
      <c r="H37" s="4"/>
      <c r="I37" s="4"/>
      <c r="J37" s="4"/>
      <c r="K37" s="4"/>
      <c r="L37" s="94" t="str">
        <f>IF(NOT(ISBLANK(A37)),SUMIF($J$3:$J37,$J37,$F$3:$F37)-SUMIF($J$3:$J37,$J37,$E$3:$E37),"")</f>
        <v/>
      </c>
      <c r="M37" s="4"/>
    </row>
    <row r="38" spans="1:13" ht="14.45" x14ac:dyDescent="0.35">
      <c r="A38" s="7"/>
      <c r="B38" s="3"/>
      <c r="C38" s="10"/>
      <c r="D38" s="12" t="str">
        <f>IF(NOT(ISBLANK($A38)),SUM(B$3:B38)-SUM(C$3:C38),"")</f>
        <v/>
      </c>
      <c r="E38" s="3"/>
      <c r="F38" s="10"/>
      <c r="G38" s="12" t="str">
        <f>IF(NOT(ISBLANK($A38)),SUM(E$3:E38)-SUM(F$3:F38),"")</f>
        <v/>
      </c>
      <c r="H38" s="4"/>
      <c r="I38" s="4"/>
      <c r="J38" s="4"/>
      <c r="K38" s="4"/>
      <c r="L38" s="94" t="str">
        <f>IF(NOT(ISBLANK(A38)),SUMIF($J$3:$J38,$J38,$F$3:$F38)-SUMIF($J$3:$J38,$J38,$E$3:$E38),"")</f>
        <v/>
      </c>
      <c r="M38" s="4"/>
    </row>
    <row r="39" spans="1:13" ht="14.45" x14ac:dyDescent="0.35">
      <c r="A39" s="8"/>
      <c r="B39" s="5"/>
      <c r="C39" s="11"/>
      <c r="D39" s="13" t="str">
        <f>IF(NOT(ISBLANK($A39)),SUM(B$3:B39)-SUM(C$3:C39),"")</f>
        <v/>
      </c>
      <c r="E39" s="5"/>
      <c r="F39" s="11"/>
      <c r="G39" s="13" t="str">
        <f>IF(NOT(ISBLANK($A39)),SUM(E$3:E39)-SUM(F$3:F39),"")</f>
        <v/>
      </c>
      <c r="H39" s="6"/>
      <c r="I39" s="6"/>
      <c r="J39" s="6"/>
      <c r="K39" s="6"/>
      <c r="L39" s="95" t="str">
        <f>IF(NOT(ISBLANK(A39)),SUMIF($J$3:$J39,$J39,$F$3:$F39)-SUMIF($J$3:$J39,$J39,$E$3:$E39),"")</f>
        <v/>
      </c>
      <c r="M39" s="6"/>
    </row>
    <row r="40" spans="1:13" thickBot="1" x14ac:dyDescent="0.4">
      <c r="A40" s="8"/>
      <c r="B40" s="5"/>
      <c r="C40" s="11"/>
      <c r="D40" s="13" t="str">
        <f>IF(NOT(ISBLANK($A40)),SUM(B$3:B40)-SUM(C$3:C40),"")</f>
        <v/>
      </c>
      <c r="E40" s="5"/>
      <c r="F40" s="11"/>
      <c r="G40" s="13" t="str">
        <f>IF(NOT(ISBLANK($A40)),SUM(E$3:E40)-SUM(F$3:F40),"")</f>
        <v/>
      </c>
      <c r="H40" s="6"/>
      <c r="I40" s="6"/>
      <c r="J40" s="6"/>
      <c r="K40" s="6"/>
      <c r="L40" s="95" t="str">
        <f>IF(NOT(ISBLANK(A40)),SUMIF($J$3:$J40,$J40,$F$3:$F40)-SUMIF($J$3:$J40,$J40,$E$3:$E40),"")</f>
        <v/>
      </c>
      <c r="M40" s="6"/>
    </row>
    <row r="41" spans="1:13" ht="18.95" thickBot="1" x14ac:dyDescent="0.5">
      <c r="A41" s="103"/>
      <c r="B41" s="105" t="s">
        <v>36</v>
      </c>
      <c r="C41" s="104"/>
      <c r="D41" s="106">
        <f>SUM(B$3:B40)-SUM(C$3:C40)</f>
        <v>18.029999999999973</v>
      </c>
      <c r="E41" s="105" t="s">
        <v>36</v>
      </c>
      <c r="F41" s="104"/>
      <c r="G41" s="106">
        <f>SUM(E$3:E40)-SUM(F$3:F40)</f>
        <v>-337.70000000000005</v>
      </c>
      <c r="H41" s="103"/>
      <c r="I41" s="103"/>
      <c r="J41" s="103"/>
      <c r="K41" s="103"/>
      <c r="L41" s="103"/>
      <c r="M41" s="103"/>
    </row>
  </sheetData>
  <sortState ref="A3:M16">
    <sortCondition ref="A3:A16"/>
  </sortState>
  <mergeCells count="9">
    <mergeCell ref="M1:M2"/>
    <mergeCell ref="L1:L2"/>
    <mergeCell ref="A1:A2"/>
    <mergeCell ref="B1:D1"/>
    <mergeCell ref="E1:G1"/>
    <mergeCell ref="H1:H2"/>
    <mergeCell ref="J1:J2"/>
    <mergeCell ref="K1:K2"/>
    <mergeCell ref="I1:I2"/>
  </mergeCells>
  <dataValidations disablePrompts="1" count="1">
    <dataValidation type="list" allowBlank="1" showInputMessage="1" showErrorMessage="1" sqref="J3:J10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H17"/>
  <sheetViews>
    <sheetView zoomScale="208" zoomScaleNormal="208" workbookViewId="0">
      <selection activeCell="A19" sqref="A19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  <col min="4" max="4" width="8.5703125" bestFit="1" customWidth="1"/>
    <col min="5" max="5" width="10.85546875" bestFit="1" customWidth="1"/>
    <col min="6" max="6" width="11.85546875" bestFit="1" customWidth="1"/>
    <col min="7" max="8" width="10.85546875" bestFit="1" customWidth="1"/>
  </cols>
  <sheetData>
    <row r="1" spans="1:8" x14ac:dyDescent="0.25">
      <c r="F1" t="s">
        <v>234</v>
      </c>
      <c r="G1" s="92">
        <v>1683.31</v>
      </c>
    </row>
    <row r="2" spans="1:8" x14ac:dyDescent="0.25">
      <c r="D2" s="130" t="s">
        <v>172</v>
      </c>
      <c r="E2" s="130"/>
      <c r="F2" t="s">
        <v>235</v>
      </c>
      <c r="G2">
        <f>119.7+1.5+282.5+23.52+12.71+56.95</f>
        <v>496.87999999999994</v>
      </c>
    </row>
    <row r="3" spans="1:8" ht="15.75" thickBot="1" x14ac:dyDescent="0.3">
      <c r="A3" s="92" t="s">
        <v>246</v>
      </c>
      <c r="B3" t="s">
        <v>9</v>
      </c>
      <c r="C3" s="92"/>
      <c r="D3" s="111" t="s">
        <v>1</v>
      </c>
      <c r="E3" s="111" t="s">
        <v>2</v>
      </c>
      <c r="F3" t="s">
        <v>5</v>
      </c>
      <c r="G3" s="114" t="s">
        <v>4</v>
      </c>
      <c r="H3" t="s">
        <v>247</v>
      </c>
    </row>
    <row r="4" spans="1:8" ht="16.5" thickTop="1" thickBot="1" x14ac:dyDescent="0.3">
      <c r="A4" s="92">
        <v>-75</v>
      </c>
      <c r="B4" t="s">
        <v>122</v>
      </c>
      <c r="C4" t="s">
        <v>138</v>
      </c>
      <c r="D4">
        <v>828.29</v>
      </c>
      <c r="F4" s="92"/>
      <c r="G4" s="92"/>
      <c r="H4" s="119">
        <f>D4+E4+F4+G4</f>
        <v>828.29</v>
      </c>
    </row>
    <row r="5" spans="1:8" ht="16.5" thickTop="1" thickBot="1" x14ac:dyDescent="0.3">
      <c r="A5" s="99">
        <v>-650</v>
      </c>
      <c r="B5" s="100" t="s">
        <v>121</v>
      </c>
      <c r="C5" s="100" t="s">
        <v>138</v>
      </c>
      <c r="D5" s="92">
        <f>bmw_account_balance</f>
        <v>82.969999999999345</v>
      </c>
      <c r="E5" s="92">
        <f>bmw_visa_balance</f>
        <v>-303.1800000000012</v>
      </c>
      <c r="F5" s="92"/>
      <c r="G5" s="92">
        <v>-1552.08</v>
      </c>
      <c r="H5" s="119">
        <f>D5+E5+F5+G5</f>
        <v>-1772.2900000000018</v>
      </c>
    </row>
    <row r="6" spans="1:8" ht="16.5" thickTop="1" thickBot="1" x14ac:dyDescent="0.3">
      <c r="A6" s="92">
        <v>-975</v>
      </c>
      <c r="B6" s="98" t="s">
        <v>124</v>
      </c>
      <c r="C6" s="98" t="s">
        <v>138</v>
      </c>
      <c r="D6" s="92">
        <f>swimming_account_balance</f>
        <v>169.5094924999994</v>
      </c>
      <c r="E6" s="92">
        <f>swimming_visa_balance</f>
        <v>9.9994394986424595E-9</v>
      </c>
      <c r="F6" s="92"/>
      <c r="G6" s="92"/>
      <c r="H6" s="119">
        <f t="shared" ref="H6:H9" si="0">D6+E6+F6+G6</f>
        <v>169.50949250999884</v>
      </c>
    </row>
    <row r="7" spans="1:8" ht="16.5" thickTop="1" thickBot="1" x14ac:dyDescent="0.3">
      <c r="A7" s="92">
        <v>-75</v>
      </c>
      <c r="B7" s="101" t="s">
        <v>125</v>
      </c>
      <c r="C7" s="101" t="s">
        <v>138</v>
      </c>
      <c r="D7" s="92">
        <f>pets_account_balance</f>
        <v>0</v>
      </c>
      <c r="E7" s="92">
        <f>pets_visa_balance</f>
        <v>-79.090000000000032</v>
      </c>
      <c r="F7" s="92"/>
      <c r="G7" s="92">
        <v>-29.8</v>
      </c>
      <c r="H7" s="119">
        <f t="shared" si="0"/>
        <v>-108.89000000000003</v>
      </c>
    </row>
    <row r="8" spans="1:8" ht="16.5" thickTop="1" thickBot="1" x14ac:dyDescent="0.3">
      <c r="A8" s="92">
        <v>-100</v>
      </c>
      <c r="B8" s="96" t="s">
        <v>123</v>
      </c>
      <c r="C8" s="96" t="s">
        <v>138</v>
      </c>
      <c r="D8" s="92">
        <f>christmas_account_balance</f>
        <v>18.029999999999973</v>
      </c>
      <c r="E8" s="92">
        <f>christmas_visa_balance</f>
        <v>-337.70000000000005</v>
      </c>
      <c r="F8" s="92"/>
      <c r="G8" s="92"/>
      <c r="H8" s="119">
        <f t="shared" si="0"/>
        <v>-319.67000000000007</v>
      </c>
    </row>
    <row r="9" spans="1:8" ht="16.5" thickTop="1" thickBot="1" x14ac:dyDescent="0.3">
      <c r="A9" s="92">
        <v>-75</v>
      </c>
      <c r="B9" s="97" t="s">
        <v>137</v>
      </c>
      <c r="C9" s="97" t="s">
        <v>138</v>
      </c>
      <c r="D9" s="92">
        <f>clothing_account_balance</f>
        <v>224.16</v>
      </c>
      <c r="E9" s="92">
        <f>clothing_visa_balance</f>
        <v>0</v>
      </c>
      <c r="F9" s="92"/>
      <c r="G9" s="92"/>
      <c r="H9" s="119">
        <f t="shared" si="0"/>
        <v>224.16</v>
      </c>
    </row>
    <row r="10" spans="1:8" ht="15.75" thickTop="1" x14ac:dyDescent="0.25">
      <c r="A10" s="92">
        <v>-50</v>
      </c>
      <c r="B10" t="s">
        <v>129</v>
      </c>
    </row>
    <row r="11" spans="1:8" ht="14.45" x14ac:dyDescent="0.35">
      <c r="A11" s="92">
        <v>-600</v>
      </c>
      <c r="B11" t="s">
        <v>120</v>
      </c>
      <c r="C11" t="s">
        <v>138</v>
      </c>
    </row>
    <row r="12" spans="1:8" ht="14.45" x14ac:dyDescent="0.35">
      <c r="A12" s="92">
        <v>-200</v>
      </c>
      <c r="B12" t="s">
        <v>126</v>
      </c>
      <c r="C12" t="s">
        <v>138</v>
      </c>
    </row>
    <row r="13" spans="1:8" ht="14.45" x14ac:dyDescent="0.35">
      <c r="A13" s="92">
        <f>SUM(A3:A12)</f>
        <v>-2800</v>
      </c>
      <c r="B13" t="s">
        <v>169</v>
      </c>
    </row>
    <row r="17" spans="2:4" ht="14.45" x14ac:dyDescent="0.35">
      <c r="B17" s="92"/>
      <c r="C17" s="92"/>
      <c r="D17" s="92"/>
    </row>
  </sheetData>
  <mergeCells count="1">
    <mergeCell ref="D2:E2"/>
  </mergeCells>
  <conditionalFormatting sqref="D5:E9">
    <cfRule type="expression" dxfId="2" priority="1">
      <formula>$D5&gt;ABS($E5)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zoomScaleNormal="100" workbookViewId="0">
      <selection activeCell="O18" sqref="O18"/>
    </sheetView>
  </sheetViews>
  <sheetFormatPr defaultColWidth="9.140625" defaultRowHeight="15" x14ac:dyDescent="0.25"/>
  <cols>
    <col min="1" max="1" width="17.5703125" style="29" bestFit="1" customWidth="1"/>
    <col min="2" max="2" width="39.7109375" style="29" bestFit="1" customWidth="1"/>
    <col min="3" max="4" width="9.140625" style="29"/>
    <col min="5" max="5" width="12.140625" style="29" customWidth="1"/>
    <col min="6" max="6" width="9" style="29" bestFit="1" customWidth="1"/>
    <col min="7" max="7" width="50" style="29" customWidth="1"/>
    <col min="8" max="8" width="13.5703125" style="29" customWidth="1"/>
    <col min="9" max="11" width="10.7109375" style="29" customWidth="1"/>
    <col min="12" max="16384" width="9.140625" style="29"/>
  </cols>
  <sheetData>
    <row r="1" spans="1:12" ht="21" x14ac:dyDescent="0.5">
      <c r="A1" s="131" t="s">
        <v>76</v>
      </c>
      <c r="B1" s="133"/>
      <c r="D1" s="131" t="s">
        <v>110</v>
      </c>
      <c r="E1" s="132"/>
      <c r="F1" s="132"/>
      <c r="G1" s="132"/>
      <c r="H1" s="132"/>
      <c r="I1" s="132"/>
      <c r="J1" s="132"/>
      <c r="K1" s="133"/>
    </row>
    <row r="2" spans="1:12" ht="15" customHeight="1" x14ac:dyDescent="0.5">
      <c r="A2" s="71">
        <v>2500</v>
      </c>
      <c r="B2" s="37" t="s">
        <v>109</v>
      </c>
      <c r="D2" s="50"/>
      <c r="E2" s="142" t="s">
        <v>108</v>
      </c>
      <c r="F2" s="142"/>
      <c r="G2" s="142"/>
      <c r="H2" s="142"/>
      <c r="I2" s="142"/>
      <c r="J2" s="49">
        <v>43160</v>
      </c>
      <c r="K2" s="48">
        <v>43163</v>
      </c>
    </row>
    <row r="3" spans="1:12" ht="15" customHeight="1" x14ac:dyDescent="0.35">
      <c r="A3" s="71">
        <v>830</v>
      </c>
      <c r="B3" s="37" t="s">
        <v>111</v>
      </c>
      <c r="D3" s="47"/>
      <c r="E3" s="140" t="s">
        <v>99</v>
      </c>
      <c r="F3" s="134" t="s">
        <v>98</v>
      </c>
      <c r="G3" s="134"/>
      <c r="H3" s="143" t="s">
        <v>66</v>
      </c>
      <c r="I3" s="145">
        <f>J2-1</f>
        <v>43159</v>
      </c>
      <c r="J3" s="143" t="s">
        <v>65</v>
      </c>
      <c r="K3" s="137">
        <f>K2+1</f>
        <v>43164</v>
      </c>
    </row>
    <row r="4" spans="1:12" ht="15" customHeight="1" x14ac:dyDescent="0.35">
      <c r="A4" s="71">
        <v>750</v>
      </c>
      <c r="B4" s="37" t="s">
        <v>112</v>
      </c>
      <c r="D4" s="46"/>
      <c r="E4" s="141"/>
      <c r="F4" s="147" t="s">
        <v>97</v>
      </c>
      <c r="G4" s="147"/>
      <c r="H4" s="144"/>
      <c r="I4" s="146"/>
      <c r="J4" s="144"/>
      <c r="K4" s="138"/>
    </row>
    <row r="5" spans="1:12" ht="15" customHeight="1" x14ac:dyDescent="0.5">
      <c r="A5" s="71">
        <v>4782.16</v>
      </c>
      <c r="B5" s="37" t="s">
        <v>107</v>
      </c>
      <c r="D5" s="50"/>
      <c r="E5" s="142" t="s">
        <v>104</v>
      </c>
      <c r="F5" s="142"/>
      <c r="G5" s="142"/>
      <c r="H5" s="142"/>
      <c r="I5" s="142"/>
      <c r="J5" s="49">
        <v>43267</v>
      </c>
      <c r="K5" s="48">
        <v>43268</v>
      </c>
    </row>
    <row r="6" spans="1:12" ht="15" customHeight="1" x14ac:dyDescent="0.35">
      <c r="A6" s="71">
        <v>4210.3999999999996</v>
      </c>
      <c r="B6" s="37" t="s">
        <v>106</v>
      </c>
      <c r="D6" s="47"/>
      <c r="E6" s="140" t="s">
        <v>99</v>
      </c>
      <c r="F6" s="134" t="s">
        <v>103</v>
      </c>
      <c r="G6" s="134"/>
      <c r="H6" s="79"/>
      <c r="I6" s="145">
        <f>J5-IF(L6,1,0)</f>
        <v>43266</v>
      </c>
      <c r="J6" s="143" t="s">
        <v>65</v>
      </c>
      <c r="K6" s="137">
        <f>K5</f>
        <v>43268</v>
      </c>
      <c r="L6" s="81" t="b">
        <v>1</v>
      </c>
    </row>
    <row r="7" spans="1:12" ht="15" customHeight="1" x14ac:dyDescent="0.35">
      <c r="A7" s="54">
        <v>0</v>
      </c>
      <c r="B7" s="37" t="s">
        <v>105</v>
      </c>
      <c r="D7" s="46"/>
      <c r="E7" s="141"/>
      <c r="F7" s="147" t="s">
        <v>101</v>
      </c>
      <c r="G7" s="147"/>
      <c r="H7" s="80"/>
      <c r="I7" s="146"/>
      <c r="J7" s="144"/>
      <c r="K7" s="138"/>
    </row>
    <row r="8" spans="1:12" ht="15" customHeight="1" x14ac:dyDescent="0.5">
      <c r="A8" s="61">
        <f>2*F48</f>
        <v>3800</v>
      </c>
      <c r="B8" s="37" t="s">
        <v>57</v>
      </c>
      <c r="D8" s="50"/>
      <c r="E8" s="142" t="s">
        <v>100</v>
      </c>
      <c r="F8" s="142"/>
      <c r="G8" s="142"/>
      <c r="H8" s="142"/>
      <c r="I8" s="142"/>
      <c r="J8" s="49">
        <v>43279</v>
      </c>
      <c r="K8" s="48">
        <v>43282</v>
      </c>
    </row>
    <row r="9" spans="1:12" ht="15" customHeight="1" x14ac:dyDescent="0.35">
      <c r="A9" s="61">
        <f>F18+F20</f>
        <v>1722</v>
      </c>
      <c r="B9" s="37" t="s">
        <v>102</v>
      </c>
      <c r="D9" s="47"/>
      <c r="E9" s="140" t="s">
        <v>99</v>
      </c>
      <c r="F9" s="134" t="s">
        <v>98</v>
      </c>
      <c r="G9" s="134"/>
      <c r="H9" s="143" t="s">
        <v>66</v>
      </c>
      <c r="I9" s="145">
        <f>J8-1</f>
        <v>43278</v>
      </c>
      <c r="J9" s="143" t="s">
        <v>65</v>
      </c>
      <c r="K9" s="137">
        <f>K8+1</f>
        <v>43283</v>
      </c>
    </row>
    <row r="10" spans="1:12" ht="15" customHeight="1" x14ac:dyDescent="0.35">
      <c r="A10" s="61">
        <f>F42*(F43+F41*F44)+F45+F41*F46</f>
        <v>2800</v>
      </c>
      <c r="B10" s="37" t="str">
        <f>"Nationals Winnipeg, "&amp;$F$41&amp;" days"</f>
        <v>Nationals Winnipeg, 8 days</v>
      </c>
      <c r="D10" s="46"/>
      <c r="E10" s="141"/>
      <c r="F10" s="147" t="s">
        <v>97</v>
      </c>
      <c r="G10" s="147"/>
      <c r="H10" s="144"/>
      <c r="I10" s="146"/>
      <c r="J10" s="144"/>
      <c r="K10" s="138"/>
    </row>
    <row r="11" spans="1:12" ht="15" customHeight="1" x14ac:dyDescent="0.35">
      <c r="A11" s="61">
        <f>IF(G23,2*F33+F26*F27*F34+F35+F36,0)</f>
        <v>0</v>
      </c>
      <c r="B11" s="37" t="str">
        <f>"Easterns Windsor, "&amp;$F$26&amp;" days (Flying)"</f>
        <v>Easterns Windsor, 6 days (Flying)</v>
      </c>
      <c r="D11" s="40"/>
      <c r="E11" s="38"/>
      <c r="F11" s="55"/>
      <c r="G11" s="38"/>
      <c r="K11" s="67"/>
    </row>
    <row r="12" spans="1:12" ht="21.6" thickBot="1" x14ac:dyDescent="0.55000000000000004">
      <c r="A12" s="60">
        <f>SUM(A2:A11)</f>
        <v>21394.559999999998</v>
      </c>
      <c r="B12" s="59" t="s">
        <v>89</v>
      </c>
      <c r="D12" s="40"/>
      <c r="E12" s="38" t="s">
        <v>10</v>
      </c>
      <c r="F12" s="55">
        <f>1000*80/1000*1.3</f>
        <v>104</v>
      </c>
      <c r="G12" s="38" t="s">
        <v>96</v>
      </c>
      <c r="K12" s="67"/>
    </row>
    <row r="13" spans="1:12" ht="15" customHeight="1" x14ac:dyDescent="0.35">
      <c r="D13" s="40"/>
      <c r="E13" s="38" t="s">
        <v>95</v>
      </c>
      <c r="F13" s="54">
        <v>40</v>
      </c>
      <c r="G13" s="38" t="s">
        <v>94</v>
      </c>
      <c r="H13" s="70"/>
      <c r="I13" s="69"/>
      <c r="J13" s="68"/>
      <c r="K13" s="67"/>
    </row>
    <row r="14" spans="1:12" ht="15" customHeight="1" thickBot="1" x14ac:dyDescent="0.4">
      <c r="D14" s="40"/>
      <c r="E14" s="38" t="s">
        <v>93</v>
      </c>
      <c r="F14" s="54">
        <v>150</v>
      </c>
      <c r="G14" s="38" t="s">
        <v>71</v>
      </c>
      <c r="H14" s="38"/>
      <c r="I14" s="38"/>
      <c r="J14" s="38"/>
      <c r="K14" s="37"/>
    </row>
    <row r="15" spans="1:12" ht="21" x14ac:dyDescent="0.5">
      <c r="A15" s="131" t="s">
        <v>82</v>
      </c>
      <c r="B15" s="133"/>
      <c r="D15" s="40"/>
      <c r="E15" s="38" t="s">
        <v>63</v>
      </c>
      <c r="F15" s="38">
        <f>(K3-I3)+(K6-I6)+(K9-I9)</f>
        <v>12</v>
      </c>
      <c r="G15" s="66" t="s">
        <v>92</v>
      </c>
      <c r="H15" s="38"/>
      <c r="I15" s="38"/>
      <c r="J15" s="38"/>
      <c r="K15" s="37"/>
    </row>
    <row r="16" spans="1:12" ht="15" customHeight="1" x14ac:dyDescent="0.35">
      <c r="A16" s="63">
        <f>A2</f>
        <v>2500</v>
      </c>
      <c r="B16" s="37" t="str">
        <f>B2</f>
        <v>meet fees</v>
      </c>
      <c r="D16" s="40"/>
      <c r="E16" s="38" t="s">
        <v>62</v>
      </c>
      <c r="F16" s="65">
        <v>2</v>
      </c>
      <c r="G16" s="38"/>
      <c r="H16" s="38"/>
      <c r="I16" s="38"/>
      <c r="J16" s="38"/>
      <c r="K16" s="37"/>
    </row>
    <row r="17" spans="1:11" ht="15" customHeight="1" x14ac:dyDescent="0.35">
      <c r="A17" s="63">
        <f t="shared" ref="A17:B18" si="0">A3</f>
        <v>830</v>
      </c>
      <c r="B17" s="37" t="str">
        <f t="shared" si="0"/>
        <v>Belleville</v>
      </c>
      <c r="D17" s="40"/>
      <c r="E17" s="38" t="s">
        <v>91</v>
      </c>
      <c r="F17" s="38"/>
      <c r="G17" s="38"/>
      <c r="H17" s="38"/>
      <c r="I17" s="38"/>
      <c r="J17" s="38"/>
      <c r="K17" s="37"/>
    </row>
    <row r="18" spans="1:11" ht="15" customHeight="1" x14ac:dyDescent="0.35">
      <c r="A18" s="63">
        <f t="shared" si="0"/>
        <v>750</v>
      </c>
      <c r="B18" s="37" t="str">
        <f t="shared" si="0"/>
        <v>Point Claire</v>
      </c>
      <c r="D18" s="40"/>
      <c r="E18" s="64">
        <f>F15*F16</f>
        <v>24</v>
      </c>
      <c r="F18" s="62">
        <f>E18*F13</f>
        <v>960</v>
      </c>
      <c r="G18" s="38" t="str">
        <f>(K3-I3)+(K9-I9)&amp;" days of Championships, "&amp;K6-I6&amp;" days of Festival"</f>
        <v>10 days of Championships, 2 days of Festival</v>
      </c>
      <c r="H18" s="38"/>
      <c r="I18" s="38"/>
      <c r="J18" s="38"/>
      <c r="K18" s="37"/>
    </row>
    <row r="19" spans="1:11" ht="15" customHeight="1" x14ac:dyDescent="0.35">
      <c r="A19" s="63">
        <f t="shared" ref="A19:B24" si="1">A5</f>
        <v>4782.16</v>
      </c>
      <c r="B19" s="37" t="str">
        <f t="shared" si="1"/>
        <v>William</v>
      </c>
      <c r="D19" s="40"/>
      <c r="E19" s="38" t="s">
        <v>90</v>
      </c>
      <c r="F19" s="38"/>
      <c r="G19" s="38"/>
      <c r="H19" s="38"/>
      <c r="I19" s="38"/>
      <c r="J19" s="38"/>
      <c r="K19" s="37"/>
    </row>
    <row r="20" spans="1:11" ht="15" customHeight="1" x14ac:dyDescent="0.35">
      <c r="A20" s="63">
        <f t="shared" si="1"/>
        <v>4210.3999999999996</v>
      </c>
      <c r="B20" s="37" t="str">
        <f t="shared" si="1"/>
        <v>Olivier</v>
      </c>
      <c r="D20" s="40"/>
      <c r="E20" s="38">
        <v>3</v>
      </c>
      <c r="F20" s="62">
        <f>E20*(F14+F12)</f>
        <v>762</v>
      </c>
      <c r="G20" s="38"/>
      <c r="H20" s="38"/>
      <c r="I20" s="38"/>
      <c r="J20" s="38"/>
      <c r="K20" s="37"/>
    </row>
    <row r="21" spans="1:11" ht="15" customHeight="1" thickBot="1" x14ac:dyDescent="0.4">
      <c r="A21" s="63">
        <f t="shared" si="1"/>
        <v>0</v>
      </c>
      <c r="B21" s="37" t="str">
        <f t="shared" si="1"/>
        <v>Olivier Skiing</v>
      </c>
      <c r="D21" s="33"/>
      <c r="E21" s="31"/>
      <c r="F21" s="31"/>
      <c r="G21" s="31"/>
      <c r="H21" s="31"/>
      <c r="I21" s="31"/>
      <c r="J21" s="31"/>
      <c r="K21" s="30"/>
    </row>
    <row r="22" spans="1:11" ht="21" x14ac:dyDescent="0.5">
      <c r="A22" s="63">
        <f t="shared" si="1"/>
        <v>3800</v>
      </c>
      <c r="B22" s="37" t="str">
        <f t="shared" si="1"/>
        <v>Training Camp</v>
      </c>
      <c r="D22" s="131" t="s">
        <v>88</v>
      </c>
      <c r="E22" s="132"/>
      <c r="F22" s="132"/>
      <c r="G22" s="132"/>
      <c r="H22" s="52" t="s">
        <v>87</v>
      </c>
      <c r="I22" s="52"/>
      <c r="J22" s="58">
        <v>43202</v>
      </c>
      <c r="K22" s="57">
        <v>43205</v>
      </c>
    </row>
    <row r="23" spans="1:11" ht="21" x14ac:dyDescent="0.5">
      <c r="A23" s="63">
        <f t="shared" si="1"/>
        <v>1722</v>
      </c>
      <c r="B23" s="37" t="str">
        <f t="shared" si="1"/>
        <v xml:space="preserve">Toronto Meets </v>
      </c>
      <c r="D23" s="78" t="str">
        <f>IF(G23,"","NOT ")&amp;"ATTENDING"</f>
        <v>NOT ATTENDING</v>
      </c>
      <c r="E23" s="74"/>
      <c r="F23" s="74"/>
      <c r="G23" s="74" t="b">
        <v>0</v>
      </c>
      <c r="H23" s="75"/>
      <c r="I23" s="75"/>
      <c r="J23" s="76"/>
      <c r="K23" s="77"/>
    </row>
    <row r="24" spans="1:11" ht="15" customHeight="1" x14ac:dyDescent="0.25">
      <c r="A24" s="63">
        <f t="shared" si="1"/>
        <v>2800</v>
      </c>
      <c r="B24" s="37" t="str">
        <f t="shared" si="1"/>
        <v>Nationals Winnipeg, 8 days</v>
      </c>
      <c r="D24" s="40"/>
      <c r="E24" s="139" t="s">
        <v>86</v>
      </c>
      <c r="F24" s="134" t="s">
        <v>85</v>
      </c>
      <c r="G24" s="134"/>
      <c r="H24" s="143" t="s">
        <v>66</v>
      </c>
      <c r="I24" s="145">
        <f>J22-2</f>
        <v>43200</v>
      </c>
      <c r="J24" s="143" t="s">
        <v>65</v>
      </c>
      <c r="K24" s="137">
        <f>K22+1</f>
        <v>43206</v>
      </c>
    </row>
    <row r="25" spans="1:11" ht="15" customHeight="1" thickBot="1" x14ac:dyDescent="0.3">
      <c r="A25" s="61">
        <f>IF(G23,F28+F26*F27*F30+F31+F29,0)</f>
        <v>0</v>
      </c>
      <c r="B25" s="37" t="str">
        <f>"Easterns Windsor, "&amp;$F$26&amp;" days (Driving 10 hours)"</f>
        <v>Easterns Windsor, 6 days (Driving 10 hours)</v>
      </c>
      <c r="D25" s="40"/>
      <c r="E25" s="139"/>
      <c r="F25" s="134" t="s">
        <v>84</v>
      </c>
      <c r="G25" s="134"/>
      <c r="H25" s="143"/>
      <c r="I25" s="145"/>
      <c r="J25" s="143"/>
      <c r="K25" s="137"/>
    </row>
    <row r="26" spans="1:11" ht="21.95" thickTop="1" thickBot="1" x14ac:dyDescent="0.55000000000000004">
      <c r="A26" s="60">
        <f>SUM(A16:A25)</f>
        <v>21394.559999999998</v>
      </c>
      <c r="B26" s="59" t="s">
        <v>89</v>
      </c>
      <c r="D26" s="40"/>
      <c r="E26" s="38" t="s">
        <v>63</v>
      </c>
      <c r="F26" s="45">
        <f>K24-I24</f>
        <v>6</v>
      </c>
      <c r="G26" s="38"/>
      <c r="H26" s="38"/>
      <c r="I26" s="38"/>
      <c r="J26" s="38"/>
      <c r="K26" s="37"/>
    </row>
    <row r="27" spans="1:11" ht="15" customHeight="1" x14ac:dyDescent="0.5">
      <c r="A27" s="72"/>
      <c r="B27" s="73"/>
      <c r="D27" s="40"/>
      <c r="E27" s="38" t="s">
        <v>62</v>
      </c>
      <c r="F27" s="44">
        <v>2</v>
      </c>
      <c r="G27" s="38"/>
      <c r="H27" s="38"/>
      <c r="I27" s="38"/>
      <c r="J27" s="38"/>
      <c r="K27" s="37"/>
    </row>
    <row r="28" spans="1:11" ht="15" customHeight="1" x14ac:dyDescent="0.35">
      <c r="D28" s="40" t="s">
        <v>82</v>
      </c>
      <c r="E28" s="38" t="s">
        <v>10</v>
      </c>
      <c r="F28" s="55">
        <f>1800*80/1000*1.3</f>
        <v>187.20000000000002</v>
      </c>
      <c r="G28" s="38" t="s">
        <v>81</v>
      </c>
      <c r="H28" s="38"/>
      <c r="I28" s="38"/>
      <c r="J28" s="38"/>
      <c r="K28" s="37"/>
    </row>
    <row r="29" spans="1:11" ht="15" customHeight="1" x14ac:dyDescent="0.35">
      <c r="D29" s="40"/>
      <c r="E29" s="38" t="s">
        <v>79</v>
      </c>
      <c r="F29" s="55">
        <v>120</v>
      </c>
      <c r="G29" s="38"/>
      <c r="H29" s="38"/>
      <c r="I29" s="38"/>
      <c r="J29" s="38"/>
      <c r="K29" s="37"/>
    </row>
    <row r="30" spans="1:11" thickBot="1" x14ac:dyDescent="0.4">
      <c r="D30" s="40"/>
      <c r="E30" s="38" t="str">
        <f t="shared" ref="E30:G31" si="2">E13</f>
        <v>Food</v>
      </c>
      <c r="F30" s="54">
        <f t="shared" si="2"/>
        <v>40</v>
      </c>
      <c r="G30" s="55" t="str">
        <f t="shared" si="2"/>
        <v>Per Day/Per person</v>
      </c>
      <c r="H30" s="38"/>
      <c r="I30" s="38"/>
      <c r="J30" s="38"/>
      <c r="K30" s="37"/>
    </row>
    <row r="31" spans="1:11" ht="21" x14ac:dyDescent="0.5">
      <c r="A31" s="131" t="s">
        <v>83</v>
      </c>
      <c r="B31" s="133"/>
      <c r="D31" s="40"/>
      <c r="E31" s="38" t="str">
        <f t="shared" si="2"/>
        <v>Grocery</v>
      </c>
      <c r="F31" s="54">
        <f t="shared" si="2"/>
        <v>150</v>
      </c>
      <c r="G31" s="55" t="str">
        <f t="shared" si="2"/>
        <v>Per Trip</v>
      </c>
      <c r="H31" s="38"/>
      <c r="I31" s="38"/>
      <c r="J31" s="38"/>
      <c r="K31" s="37"/>
    </row>
    <row r="32" spans="1:11" ht="15" customHeight="1" thickBot="1" x14ac:dyDescent="0.4">
      <c r="A32" s="84">
        <f>F41+IF(G23,F26,0)+F15</f>
        <v>20</v>
      </c>
      <c r="B32" s="37" t="s">
        <v>80</v>
      </c>
      <c r="D32" s="40"/>
      <c r="E32" s="38"/>
      <c r="F32" s="55"/>
      <c r="G32" s="38"/>
      <c r="H32" s="38"/>
      <c r="I32" s="38"/>
      <c r="J32" s="38"/>
      <c r="K32" s="37"/>
    </row>
    <row r="33" spans="1:11" thickTop="1" x14ac:dyDescent="0.35">
      <c r="A33" s="93">
        <v>2</v>
      </c>
      <c r="B33" s="37" t="s">
        <v>127</v>
      </c>
      <c r="D33" s="40" t="s">
        <v>76</v>
      </c>
      <c r="E33" s="38" t="s">
        <v>75</v>
      </c>
      <c r="F33" s="54">
        <v>450</v>
      </c>
      <c r="G33" s="38" t="s">
        <v>74</v>
      </c>
      <c r="H33" s="42" t="s">
        <v>73</v>
      </c>
      <c r="I33" s="43">
        <f>I24</f>
        <v>43200</v>
      </c>
      <c r="J33" s="42" t="s">
        <v>59</v>
      </c>
      <c r="K33" s="41">
        <f>K24</f>
        <v>43206</v>
      </c>
    </row>
    <row r="34" spans="1:11" ht="14.45" x14ac:dyDescent="0.35">
      <c r="A34" s="93">
        <f>A32-A33</f>
        <v>18</v>
      </c>
      <c r="B34" s="37" t="s">
        <v>128</v>
      </c>
      <c r="D34" s="40"/>
      <c r="E34" s="38" t="str">
        <f>E30</f>
        <v>Food</v>
      </c>
      <c r="F34" s="54">
        <v>70</v>
      </c>
      <c r="G34" s="38" t="str">
        <f>G30</f>
        <v>Per Day/Per person</v>
      </c>
      <c r="H34" s="38"/>
      <c r="I34" s="38"/>
      <c r="J34" s="38"/>
      <c r="K34" s="37"/>
    </row>
    <row r="35" spans="1:11" ht="15" customHeight="1" x14ac:dyDescent="0.35">
      <c r="A35" s="56">
        <v>20000</v>
      </c>
      <c r="B35" s="37" t="s">
        <v>78</v>
      </c>
      <c r="D35" s="40"/>
      <c r="E35" s="38" t="str">
        <f>E31</f>
        <v>Grocery</v>
      </c>
      <c r="F35" s="54">
        <v>20</v>
      </c>
      <c r="G35" s="38" t="str">
        <f>G31</f>
        <v>Per Trip</v>
      </c>
      <c r="H35" s="38"/>
      <c r="I35" s="38"/>
      <c r="J35" s="38"/>
      <c r="K35" s="37"/>
    </row>
    <row r="36" spans="1:11" ht="21.6" thickBot="1" x14ac:dyDescent="0.55000000000000004">
      <c r="A36" s="83">
        <f>A35*A33</f>
        <v>40000</v>
      </c>
      <c r="B36" s="59" t="s">
        <v>77</v>
      </c>
      <c r="D36" s="33"/>
      <c r="E36" s="31" t="s">
        <v>72</v>
      </c>
      <c r="F36" s="53">
        <v>80</v>
      </c>
      <c r="G36" s="31" t="s">
        <v>71</v>
      </c>
      <c r="H36" s="31"/>
      <c r="I36" s="31"/>
      <c r="J36" s="31"/>
      <c r="K36" s="30"/>
    </row>
    <row r="37" spans="1:11" ht="21" x14ac:dyDescent="0.5">
      <c r="A37" s="82">
        <v>175</v>
      </c>
      <c r="B37" s="37" t="s">
        <v>115</v>
      </c>
      <c r="D37" s="131" t="s">
        <v>70</v>
      </c>
      <c r="E37" s="132"/>
      <c r="F37" s="132"/>
      <c r="G37" s="132"/>
      <c r="I37" s="52"/>
      <c r="K37" s="51"/>
    </row>
    <row r="38" spans="1:11" ht="21.6" thickBot="1" x14ac:dyDescent="0.55000000000000004">
      <c r="A38" s="60">
        <f>A34*A37</f>
        <v>3150</v>
      </c>
      <c r="B38" s="59" t="s">
        <v>116</v>
      </c>
      <c r="D38" s="50"/>
      <c r="E38" s="142" t="s">
        <v>69</v>
      </c>
      <c r="F38" s="142"/>
      <c r="G38" s="142"/>
      <c r="H38" s="142"/>
      <c r="I38" s="142"/>
      <c r="J38" s="49">
        <v>43306</v>
      </c>
      <c r="K38" s="48">
        <v>43311</v>
      </c>
    </row>
    <row r="39" spans="1:11" ht="15" customHeight="1" x14ac:dyDescent="0.35">
      <c r="D39" s="47"/>
      <c r="E39" s="140" t="s">
        <v>68</v>
      </c>
      <c r="F39" s="134" t="s">
        <v>67</v>
      </c>
      <c r="G39" s="134"/>
      <c r="H39" s="143" t="s">
        <v>66</v>
      </c>
      <c r="I39" s="145">
        <f>J38-2</f>
        <v>43304</v>
      </c>
      <c r="J39" s="143" t="s">
        <v>65</v>
      </c>
      <c r="K39" s="137">
        <f>K38+1</f>
        <v>43312</v>
      </c>
    </row>
    <row r="40" spans="1:11" ht="21.75" thickBot="1" x14ac:dyDescent="0.4">
      <c r="D40" s="46"/>
      <c r="E40" s="141"/>
      <c r="F40" s="147" t="s">
        <v>64</v>
      </c>
      <c r="G40" s="147"/>
      <c r="H40" s="144"/>
      <c r="I40" s="146"/>
      <c r="J40" s="144"/>
      <c r="K40" s="138"/>
    </row>
    <row r="41" spans="1:11" ht="15" customHeight="1" thickTop="1" thickBot="1" x14ac:dyDescent="0.3">
      <c r="D41" s="40"/>
      <c r="E41" s="38" t="s">
        <v>63</v>
      </c>
      <c r="F41" s="45">
        <f>K39-I39</f>
        <v>8</v>
      </c>
      <c r="G41" s="38"/>
      <c r="H41" s="38"/>
      <c r="I41" s="38"/>
      <c r="J41" s="38"/>
      <c r="K41" s="37"/>
    </row>
    <row r="42" spans="1:11" ht="15" customHeight="1" thickTop="1" x14ac:dyDescent="0.35">
      <c r="A42" s="131" t="s">
        <v>117</v>
      </c>
      <c r="B42" s="133"/>
      <c r="D42" s="40"/>
      <c r="E42" s="38" t="s">
        <v>62</v>
      </c>
      <c r="F42" s="44">
        <v>2</v>
      </c>
      <c r="G42" s="38"/>
      <c r="H42" s="38"/>
      <c r="I42" s="38"/>
      <c r="J42" s="38"/>
      <c r="K42" s="37"/>
    </row>
    <row r="43" spans="1:11" ht="15.75" thickBot="1" x14ac:dyDescent="0.3">
      <c r="A43" s="85">
        <f>'Swim Budget'!A12</f>
        <v>21394.559999999998</v>
      </c>
      <c r="B43" s="86" t="s">
        <v>113</v>
      </c>
      <c r="D43" s="40"/>
      <c r="E43" s="38" t="s">
        <v>61</v>
      </c>
      <c r="F43" s="39">
        <v>750</v>
      </c>
      <c r="G43" s="38" t="str">
        <f>G33</f>
        <v>Per Person</v>
      </c>
      <c r="H43" s="42" t="s">
        <v>60</v>
      </c>
      <c r="I43" s="43">
        <f>I39</f>
        <v>43304</v>
      </c>
      <c r="J43" s="42" t="s">
        <v>59</v>
      </c>
      <c r="K43" s="41">
        <f>K39</f>
        <v>43312</v>
      </c>
    </row>
    <row r="44" spans="1:11" ht="15.75" thickTop="1" x14ac:dyDescent="0.25">
      <c r="A44" s="87">
        <f>SUM(Swimming!B3:B80)</f>
        <v>10741.4</v>
      </c>
      <c r="B44" s="86" t="s">
        <v>114</v>
      </c>
      <c r="D44" s="40"/>
      <c r="E44" s="38" t="str">
        <f>E34</f>
        <v>Food</v>
      </c>
      <c r="F44" s="39">
        <f>F34</f>
        <v>70</v>
      </c>
      <c r="G44" s="38" t="str">
        <f>G34</f>
        <v>Per Day/Per person</v>
      </c>
      <c r="H44" s="38"/>
      <c r="I44" s="38"/>
      <c r="J44" s="38"/>
      <c r="K44" s="37"/>
    </row>
    <row r="45" spans="1:11" ht="15" customHeight="1" thickBot="1" x14ac:dyDescent="0.3">
      <c r="A45" s="91">
        <f ca="1">DATEDIF(TODAY(),DATE(2018,8,1),"m")*2</f>
        <v>12</v>
      </c>
      <c r="B45" s="90" t="s">
        <v>162</v>
      </c>
      <c r="C45" s="81">
        <f ca="1">(annual_budget-already_paid)/installments_remain</f>
        <v>887.76333333333321</v>
      </c>
      <c r="D45" s="40"/>
      <c r="E45" s="38" t="str">
        <f>E35</f>
        <v>Grocery</v>
      </c>
      <c r="F45" s="39">
        <f>F35</f>
        <v>20</v>
      </c>
      <c r="G45" s="38" t="s">
        <v>58</v>
      </c>
      <c r="H45" s="38"/>
      <c r="I45" s="38"/>
      <c r="J45" s="38"/>
      <c r="K45" s="37"/>
    </row>
    <row r="46" spans="1:11" ht="15" customHeight="1" thickBot="1" x14ac:dyDescent="0.35">
      <c r="A46" s="135" t="s">
        <v>118</v>
      </c>
      <c r="B46" s="136"/>
      <c r="C46" s="81">
        <f ca="1">((annual_budget-US_training_camp)*2-already_paid)/(installments_remain+24)</f>
        <v>784.65888888888867</v>
      </c>
      <c r="D46" s="33"/>
      <c r="E46" s="31" t="str">
        <f>E36</f>
        <v>Cabs</v>
      </c>
      <c r="F46" s="36">
        <v>20</v>
      </c>
      <c r="G46" s="31" t="s">
        <v>58</v>
      </c>
      <c r="H46" s="31"/>
      <c r="I46" s="31"/>
      <c r="J46" s="31"/>
      <c r="K46" s="30"/>
    </row>
    <row r="47" spans="1:11" ht="21" x14ac:dyDescent="0.35">
      <c r="A47" s="88">
        <f ca="1">ROUNDUP(C45,-1)</f>
        <v>890</v>
      </c>
      <c r="B47" s="86" t="str">
        <f ca="1">"Rest of this year "&amp;TEXT(C45,"($###.00)")</f>
        <v>Rest of this year ($887.76)</v>
      </c>
      <c r="C47" s="81">
        <f>(annual_budget-2*US_training_camp)/24</f>
        <v>733.10666666666657</v>
      </c>
      <c r="D47" s="131" t="s">
        <v>57</v>
      </c>
      <c r="E47" s="132"/>
      <c r="F47" s="132"/>
      <c r="G47" s="132"/>
      <c r="H47" s="35"/>
      <c r="I47" s="35"/>
      <c r="J47" s="35"/>
      <c r="K47" s="34"/>
    </row>
    <row r="48" spans="1:11" ht="15.75" thickBot="1" x14ac:dyDescent="0.3">
      <c r="A48" s="88">
        <f t="shared" ref="A48:A49" ca="1" si="3">ROUNDUP(C46,-1)</f>
        <v>790</v>
      </c>
      <c r="B48" s="86" t="str">
        <f ca="1">"Ammortize next year "&amp;TEXT(C46,"($###.00)")</f>
        <v>Ammortize next year ($784.66)</v>
      </c>
      <c r="D48" s="33"/>
      <c r="E48" s="31" t="s">
        <v>56</v>
      </c>
      <c r="F48" s="32">
        <v>1900</v>
      </c>
      <c r="G48" s="31"/>
      <c r="H48" s="31"/>
      <c r="I48" s="31"/>
      <c r="J48" s="31"/>
      <c r="K48" s="30"/>
    </row>
    <row r="49" spans="1:3" ht="15.75" thickBot="1" x14ac:dyDescent="0.3">
      <c r="A49" s="89">
        <f t="shared" si="3"/>
        <v>740</v>
      </c>
      <c r="B49" s="90" t="str">
        <f>"Next Year Alone "&amp;TEXT(C47,"($###.00)")</f>
        <v>Next Year Alone ($733.11)</v>
      </c>
      <c r="C49" s="81">
        <f ca="1">(annual_budget+hotel_cost-already_paid)/installments_remain</f>
        <v>1150.2633333333331</v>
      </c>
    </row>
    <row r="50" spans="1:3" ht="18.75" x14ac:dyDescent="0.3">
      <c r="A50" s="148" t="s">
        <v>119</v>
      </c>
      <c r="B50" s="149"/>
      <c r="C50" s="81">
        <f ca="1">((annual_budget+hotel_cost-US_training_camp)*2-already_paid)/(installments_remain+24)</f>
        <v>959.65888888888867</v>
      </c>
    </row>
    <row r="51" spans="1:3" x14ac:dyDescent="0.25">
      <c r="A51" s="88">
        <f ca="1">ROUNDUP(C49,-1)</f>
        <v>1160</v>
      </c>
      <c r="B51" s="86" t="str">
        <f ca="1">"Rest of this year "&amp;TEXT(C49,"($###.00)")</f>
        <v>Rest of this year ($1150.26)</v>
      </c>
      <c r="C51" s="81">
        <f>(annual_budget+hotel_cost-2*US_training_camp)/24</f>
        <v>864.35666666666657</v>
      </c>
    </row>
    <row r="52" spans="1:3" x14ac:dyDescent="0.25">
      <c r="A52" s="88">
        <f t="shared" ref="A52:A53" ca="1" si="4">ROUNDUP(C50,-1)</f>
        <v>960</v>
      </c>
      <c r="B52" s="86" t="str">
        <f ca="1">"Ammortize next year "&amp;TEXT(C50,"($###.00)")</f>
        <v>Ammortize next year ($959.66)</v>
      </c>
    </row>
    <row r="53" spans="1:3" ht="15.75" thickBot="1" x14ac:dyDescent="0.3">
      <c r="A53" s="89">
        <f t="shared" si="4"/>
        <v>870</v>
      </c>
      <c r="B53" s="90" t="str">
        <f>"Next Year Alone "&amp;TEXT(C51,"($###.00)")</f>
        <v>Next Year Alone ($864.36)</v>
      </c>
    </row>
  </sheetData>
  <sheetProtection selectLockedCells="1"/>
  <mergeCells count="48"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H24:H25"/>
    <mergeCell ref="I24:I25"/>
    <mergeCell ref="J6:J7"/>
    <mergeCell ref="J3:J4"/>
    <mergeCell ref="E5:I5"/>
    <mergeCell ref="E6:E7"/>
    <mergeCell ref="F6:G6"/>
    <mergeCell ref="H3:H4"/>
    <mergeCell ref="I3:I4"/>
    <mergeCell ref="I6:I7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F10:G10"/>
    <mergeCell ref="E8:I8"/>
    <mergeCell ref="D47:G47"/>
    <mergeCell ref="D22:G22"/>
    <mergeCell ref="D37:G37"/>
    <mergeCell ref="A15:B15"/>
    <mergeCell ref="F25:G25"/>
    <mergeCell ref="A42:B42"/>
    <mergeCell ref="A46:B46"/>
    <mergeCell ref="A31:B31"/>
  </mergeCells>
  <conditionalFormatting sqref="D22:K36">
    <cfRule type="expression" dxfId="1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2"/>
  <sheetViews>
    <sheetView workbookViewId="0">
      <selection activeCell="C5" sqref="C5"/>
    </sheetView>
  </sheetViews>
  <sheetFormatPr defaultRowHeight="15" x14ac:dyDescent="0.25"/>
  <cols>
    <col min="1" max="1" width="21.5703125" customWidth="1"/>
    <col min="3" max="3" width="9.7109375" bestFit="1" customWidth="1"/>
    <col min="5" max="5" width="10.7109375" bestFit="1" customWidth="1"/>
    <col min="6" max="6" width="10.7109375" customWidth="1"/>
    <col min="7" max="7" width="12.28515625" bestFit="1" customWidth="1"/>
    <col min="8" max="8" width="11.5703125" bestFit="1" customWidth="1"/>
    <col min="9" max="9" width="10.7109375" customWidth="1"/>
    <col min="10" max="24" width="10.5703125" customWidth="1"/>
  </cols>
  <sheetData>
    <row r="1" spans="1:24" x14ac:dyDescent="0.25">
      <c r="F1" t="s">
        <v>233</v>
      </c>
      <c r="G1" t="s">
        <v>232</v>
      </c>
      <c r="J1" t="s">
        <v>89</v>
      </c>
      <c r="K1" t="s">
        <v>231</v>
      </c>
      <c r="L1" t="s">
        <v>230</v>
      </c>
      <c r="M1" t="s">
        <v>229</v>
      </c>
      <c r="N1" t="s">
        <v>228</v>
      </c>
      <c r="O1" t="s">
        <v>227</v>
      </c>
      <c r="P1" t="s">
        <v>226</v>
      </c>
      <c r="Q1" t="s">
        <v>225</v>
      </c>
      <c r="R1" t="s">
        <v>224</v>
      </c>
      <c r="S1" t="s">
        <v>223</v>
      </c>
      <c r="T1" t="s">
        <v>222</v>
      </c>
      <c r="U1" t="s">
        <v>221</v>
      </c>
      <c r="V1" t="s">
        <v>220</v>
      </c>
      <c r="W1" t="s">
        <v>219</v>
      </c>
      <c r="X1" t="s">
        <v>218</v>
      </c>
    </row>
    <row r="2" spans="1:24" x14ac:dyDescent="0.25">
      <c r="A2" t="s">
        <v>217</v>
      </c>
      <c r="B2" t="s">
        <v>206</v>
      </c>
      <c r="C2" s="28">
        <v>130</v>
      </c>
      <c r="D2" t="s">
        <v>196</v>
      </c>
      <c r="E2" t="s">
        <v>196</v>
      </c>
      <c r="F2" s="28">
        <f t="shared" ref="F2:F18" si="0">G2/26</f>
        <v>130</v>
      </c>
      <c r="G2" s="28">
        <f>C2*26</f>
        <v>3380</v>
      </c>
    </row>
    <row r="3" spans="1:24" x14ac:dyDescent="0.25">
      <c r="A3" t="s">
        <v>216</v>
      </c>
      <c r="B3" t="s">
        <v>206</v>
      </c>
      <c r="C3" s="28">
        <v>608.54999999999995</v>
      </c>
      <c r="D3" t="s">
        <v>126</v>
      </c>
      <c r="E3" t="s">
        <v>126</v>
      </c>
      <c r="F3" s="28">
        <f t="shared" si="0"/>
        <v>608.54999999999995</v>
      </c>
      <c r="G3" s="28">
        <f>C3*26</f>
        <v>15822.3</v>
      </c>
    </row>
    <row r="4" spans="1:24" x14ac:dyDescent="0.25">
      <c r="A4" t="s">
        <v>215</v>
      </c>
      <c r="B4" t="s">
        <v>206</v>
      </c>
      <c r="C4" s="28">
        <v>150</v>
      </c>
      <c r="D4" t="s">
        <v>126</v>
      </c>
      <c r="E4" t="s">
        <v>126</v>
      </c>
      <c r="F4" s="28">
        <f t="shared" si="0"/>
        <v>150</v>
      </c>
      <c r="G4" s="28">
        <f>C4*26</f>
        <v>3900</v>
      </c>
    </row>
    <row r="5" spans="1:24" x14ac:dyDescent="0.25">
      <c r="A5" t="s">
        <v>214</v>
      </c>
      <c r="B5" t="s">
        <v>206</v>
      </c>
      <c r="C5" s="28">
        <v>450</v>
      </c>
      <c r="D5" t="s">
        <v>126</v>
      </c>
      <c r="E5" t="s">
        <v>126</v>
      </c>
      <c r="F5" s="28">
        <f t="shared" si="0"/>
        <v>450</v>
      </c>
      <c r="G5" s="28">
        <f>C5*26</f>
        <v>11700</v>
      </c>
    </row>
    <row r="6" spans="1:24" x14ac:dyDescent="0.25">
      <c r="A6" t="s">
        <v>213</v>
      </c>
      <c r="B6" t="s">
        <v>199</v>
      </c>
      <c r="C6" s="28">
        <v>154.47</v>
      </c>
      <c r="D6" t="s">
        <v>126</v>
      </c>
      <c r="E6" t="s">
        <v>126</v>
      </c>
      <c r="F6" s="28">
        <f t="shared" si="0"/>
        <v>71.293846153846147</v>
      </c>
      <c r="G6" s="28">
        <f>C6*12</f>
        <v>1853.6399999999999</v>
      </c>
    </row>
    <row r="7" spans="1:24" x14ac:dyDescent="0.25">
      <c r="A7" t="s">
        <v>212</v>
      </c>
      <c r="B7" t="s">
        <v>199</v>
      </c>
      <c r="C7" s="28">
        <v>288.91000000000003</v>
      </c>
      <c r="D7" t="s">
        <v>126</v>
      </c>
      <c r="E7" t="s">
        <v>126</v>
      </c>
      <c r="F7" s="28">
        <f t="shared" si="0"/>
        <v>133.34307692307692</v>
      </c>
      <c r="G7" s="28">
        <f>C7*12</f>
        <v>3466.92</v>
      </c>
    </row>
    <row r="8" spans="1:24" x14ac:dyDescent="0.25">
      <c r="A8" t="s">
        <v>211</v>
      </c>
      <c r="B8" t="s">
        <v>206</v>
      </c>
      <c r="C8" s="28">
        <v>125</v>
      </c>
      <c r="D8" t="s">
        <v>126</v>
      </c>
      <c r="E8" t="s">
        <v>205</v>
      </c>
      <c r="F8" s="28">
        <f t="shared" si="0"/>
        <v>125</v>
      </c>
      <c r="G8" s="28">
        <f>C8*26</f>
        <v>3250</v>
      </c>
    </row>
    <row r="9" spans="1:24" x14ac:dyDescent="0.25">
      <c r="A9" t="s">
        <v>210</v>
      </c>
      <c r="B9" t="s">
        <v>199</v>
      </c>
      <c r="C9" s="28">
        <v>30</v>
      </c>
      <c r="D9" t="s">
        <v>196</v>
      </c>
      <c r="E9" t="s">
        <v>126</v>
      </c>
      <c r="F9" s="28">
        <f t="shared" si="0"/>
        <v>13.846153846153847</v>
      </c>
      <c r="G9" s="28">
        <f>C9*12</f>
        <v>360</v>
      </c>
      <c r="J9" s="113"/>
      <c r="K9" s="28"/>
      <c r="L9" s="28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</row>
    <row r="10" spans="1:24" x14ac:dyDescent="0.25">
      <c r="A10" t="s">
        <v>209</v>
      </c>
      <c r="B10" t="s">
        <v>199</v>
      </c>
      <c r="C10" s="28">
        <v>-974</v>
      </c>
      <c r="D10" t="s">
        <v>126</v>
      </c>
      <c r="E10" t="s">
        <v>126</v>
      </c>
      <c r="F10" s="28">
        <f t="shared" si="0"/>
        <v>-449.53846153846155</v>
      </c>
      <c r="G10" s="28">
        <f>12*C10</f>
        <v>-11688</v>
      </c>
      <c r="J10" s="113"/>
      <c r="K10" s="28"/>
      <c r="L10" s="28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</row>
    <row r="11" spans="1:24" x14ac:dyDescent="0.25">
      <c r="A11" t="s">
        <v>208</v>
      </c>
      <c r="B11" t="s">
        <v>199</v>
      </c>
      <c r="C11" s="28">
        <v>60</v>
      </c>
      <c r="D11" t="s">
        <v>126</v>
      </c>
      <c r="E11" t="s">
        <v>126</v>
      </c>
      <c r="F11" s="28">
        <f t="shared" si="0"/>
        <v>27.692307692307693</v>
      </c>
      <c r="G11" s="28">
        <f>C11*12</f>
        <v>720</v>
      </c>
    </row>
    <row r="12" spans="1:24" x14ac:dyDescent="0.25">
      <c r="A12" t="s">
        <v>207</v>
      </c>
      <c r="B12" t="s">
        <v>206</v>
      </c>
      <c r="C12" s="28">
        <v>125</v>
      </c>
      <c r="D12" t="s">
        <v>205</v>
      </c>
      <c r="E12" t="s">
        <v>126</v>
      </c>
      <c r="F12" s="28">
        <f t="shared" si="0"/>
        <v>125</v>
      </c>
      <c r="G12" s="28">
        <f>C12*26</f>
        <v>3250</v>
      </c>
    </row>
    <row r="13" spans="1:24" x14ac:dyDescent="0.25">
      <c r="A13" t="s">
        <v>204</v>
      </c>
      <c r="B13" t="s">
        <v>199</v>
      </c>
      <c r="C13" s="28">
        <v>100</v>
      </c>
      <c r="D13" t="s">
        <v>196</v>
      </c>
      <c r="E13" t="s">
        <v>126</v>
      </c>
      <c r="F13" s="28">
        <f t="shared" si="0"/>
        <v>44.496153846153852</v>
      </c>
      <c r="G13" s="28">
        <f>J13</f>
        <v>1156.9000000000001</v>
      </c>
      <c r="J13" s="113">
        <f>SUM(M13:X13)</f>
        <v>1156.9000000000001</v>
      </c>
      <c r="K13" s="28">
        <f>J13/12</f>
        <v>96.408333333333346</v>
      </c>
      <c r="L13" s="28">
        <f>J13/26</f>
        <v>44.496153846153852</v>
      </c>
      <c r="M13" s="112">
        <v>73.88</v>
      </c>
      <c r="N13" s="112">
        <v>86.83</v>
      </c>
      <c r="O13" s="112">
        <v>80.5</v>
      </c>
      <c r="P13" s="112">
        <v>94.7</v>
      </c>
      <c r="Q13" s="112">
        <v>92.14</v>
      </c>
      <c r="R13" s="112">
        <v>95.61</v>
      </c>
      <c r="S13" s="112">
        <v>104.03</v>
      </c>
      <c r="T13" s="112">
        <v>96.9</v>
      </c>
      <c r="U13" s="112">
        <v>100.71</v>
      </c>
      <c r="V13" s="112">
        <v>110.21</v>
      </c>
      <c r="W13" s="112">
        <v>115.51</v>
      </c>
      <c r="X13" s="112">
        <v>105.88</v>
      </c>
    </row>
    <row r="14" spans="1:24" x14ac:dyDescent="0.25">
      <c r="A14" t="s">
        <v>203</v>
      </c>
      <c r="B14" t="s">
        <v>199</v>
      </c>
      <c r="C14" s="28">
        <v>55</v>
      </c>
      <c r="D14" t="s">
        <v>196</v>
      </c>
      <c r="E14" t="s">
        <v>126</v>
      </c>
      <c r="F14" s="28">
        <f t="shared" si="0"/>
        <v>23.400384615384617</v>
      </c>
      <c r="G14" s="28">
        <f>J14</f>
        <v>608.41000000000008</v>
      </c>
      <c r="J14" s="113">
        <f>SUM(M14:X14)</f>
        <v>608.41000000000008</v>
      </c>
      <c r="K14" s="28">
        <f>J14/12</f>
        <v>50.700833333333343</v>
      </c>
      <c r="L14" s="28">
        <f>J14/26</f>
        <v>23.400384615384617</v>
      </c>
      <c r="M14" s="112">
        <v>61.33</v>
      </c>
      <c r="N14" s="112">
        <v>51.18</v>
      </c>
      <c r="O14" s="112">
        <v>67.760000000000005</v>
      </c>
      <c r="P14" s="112">
        <v>65.650000000000006</v>
      </c>
      <c r="Q14" s="112">
        <v>50.44</v>
      </c>
      <c r="R14" s="112">
        <v>38.64</v>
      </c>
      <c r="S14" s="112">
        <v>59.97</v>
      </c>
      <c r="T14" s="112">
        <v>54.73</v>
      </c>
      <c r="U14" s="112">
        <v>35.82</v>
      </c>
      <c r="V14" s="112">
        <v>36.200000000000003</v>
      </c>
      <c r="W14" s="112">
        <v>41.63</v>
      </c>
      <c r="X14" s="112">
        <v>45.06</v>
      </c>
    </row>
    <row r="15" spans="1:24" x14ac:dyDescent="0.25">
      <c r="A15" t="s">
        <v>202</v>
      </c>
      <c r="B15" t="s">
        <v>199</v>
      </c>
      <c r="C15" s="28">
        <v>90</v>
      </c>
      <c r="D15" t="s">
        <v>196</v>
      </c>
      <c r="E15" t="s">
        <v>126</v>
      </c>
      <c r="F15" s="28">
        <f t="shared" si="0"/>
        <v>40.982307692307693</v>
      </c>
      <c r="G15" s="28">
        <f>J15</f>
        <v>1065.54</v>
      </c>
      <c r="J15" s="113">
        <f>SUM(M15:X15)</f>
        <v>1065.54</v>
      </c>
      <c r="K15" s="28">
        <f>J15/12</f>
        <v>88.795000000000002</v>
      </c>
      <c r="L15" s="28">
        <f>J15/26</f>
        <v>40.982307692307693</v>
      </c>
      <c r="M15" s="112">
        <v>54.41</v>
      </c>
      <c r="N15" s="112">
        <v>52.5</v>
      </c>
      <c r="O15" s="112">
        <v>43.35</v>
      </c>
      <c r="P15" s="112">
        <v>47.7</v>
      </c>
      <c r="Q15" s="112">
        <v>55.57</v>
      </c>
      <c r="R15" s="112">
        <v>122.32</v>
      </c>
      <c r="S15" s="112">
        <v>112.66</v>
      </c>
      <c r="T15" s="112">
        <v>130.81</v>
      </c>
      <c r="U15" s="112">
        <v>129.57</v>
      </c>
      <c r="V15" s="112">
        <v>139.18</v>
      </c>
      <c r="W15" s="112">
        <v>95.46</v>
      </c>
      <c r="X15" s="112">
        <v>82.01</v>
      </c>
    </row>
    <row r="16" spans="1:24" x14ac:dyDescent="0.25">
      <c r="A16" t="s">
        <v>201</v>
      </c>
      <c r="B16" t="s">
        <v>199</v>
      </c>
      <c r="C16" s="28">
        <v>125</v>
      </c>
      <c r="D16" t="s">
        <v>196</v>
      </c>
      <c r="E16" t="s">
        <v>126</v>
      </c>
      <c r="F16" s="28">
        <f t="shared" si="0"/>
        <v>55.750769230769237</v>
      </c>
      <c r="G16" s="28">
        <f>J16</f>
        <v>1449.5200000000002</v>
      </c>
      <c r="J16" s="113">
        <f>SUM(M16:X16)</f>
        <v>1449.5200000000002</v>
      </c>
      <c r="K16" s="28">
        <f>J16/12</f>
        <v>120.79333333333335</v>
      </c>
      <c r="L16" s="28">
        <f>J16/26</f>
        <v>55.750769230769237</v>
      </c>
      <c r="M16" s="112"/>
      <c r="N16" s="112">
        <v>286.72000000000003</v>
      </c>
      <c r="O16" s="112"/>
      <c r="P16" s="112">
        <v>306.99</v>
      </c>
      <c r="Q16" s="112"/>
      <c r="R16" s="112">
        <v>241.13</v>
      </c>
      <c r="S16" s="112"/>
      <c r="T16" s="112">
        <v>198.35</v>
      </c>
      <c r="U16" s="112"/>
      <c r="V16" s="112">
        <v>218.11</v>
      </c>
      <c r="W16" s="112"/>
      <c r="X16" s="112">
        <v>198.22</v>
      </c>
    </row>
    <row r="17" spans="1:23" x14ac:dyDescent="0.25">
      <c r="A17" t="s">
        <v>200</v>
      </c>
      <c r="B17" t="s">
        <v>199</v>
      </c>
      <c r="C17" s="28">
        <v>390</v>
      </c>
      <c r="D17" t="s">
        <v>196</v>
      </c>
      <c r="E17" t="s">
        <v>126</v>
      </c>
      <c r="F17" s="28">
        <f t="shared" si="0"/>
        <v>176.39384615384614</v>
      </c>
      <c r="G17" s="28">
        <f>J17</f>
        <v>4586.24</v>
      </c>
      <c r="J17" s="113">
        <f>SUM(M17:X17)</f>
        <v>4586.24</v>
      </c>
      <c r="K17" s="28">
        <f>J17/12</f>
        <v>382.18666666666667</v>
      </c>
      <c r="L17" s="28">
        <f>J17/26</f>
        <v>176.39384615384614</v>
      </c>
      <c r="M17" s="112"/>
      <c r="N17" s="112">
        <v>479.24</v>
      </c>
      <c r="O17" s="112">
        <v>479</v>
      </c>
      <c r="P17" s="112">
        <v>479</v>
      </c>
      <c r="Q17" s="112">
        <v>479</v>
      </c>
      <c r="R17" s="112">
        <v>445</v>
      </c>
      <c r="S17" s="112">
        <v>445</v>
      </c>
      <c r="T17" s="112">
        <v>445</v>
      </c>
      <c r="U17" s="112">
        <v>445</v>
      </c>
      <c r="V17" s="112">
        <v>445</v>
      </c>
      <c r="W17" s="112">
        <v>445</v>
      </c>
    </row>
    <row r="18" spans="1:23" x14ac:dyDescent="0.25">
      <c r="A18" t="s">
        <v>198</v>
      </c>
      <c r="B18" t="s">
        <v>197</v>
      </c>
      <c r="C18" s="28">
        <v>770</v>
      </c>
      <c r="D18" t="s">
        <v>196</v>
      </c>
      <c r="E18" t="s">
        <v>195</v>
      </c>
      <c r="F18" s="28">
        <f t="shared" si="0"/>
        <v>29.615384615384617</v>
      </c>
      <c r="G18" s="28">
        <f>C18</f>
        <v>770</v>
      </c>
    </row>
    <row r="20" spans="1:23" x14ac:dyDescent="0.25">
      <c r="E20" t="s">
        <v>196</v>
      </c>
      <c r="F20" s="28">
        <f>SUMIF($E$2:$E$18,$E20,F$2:F$18)</f>
        <v>130</v>
      </c>
      <c r="G20" s="28">
        <f>SUMIF($E$2:$E$18,$E20,G$2:G$18)</f>
        <v>3380</v>
      </c>
    </row>
    <row r="21" spans="1:23" x14ac:dyDescent="0.25">
      <c r="E21" t="s">
        <v>126</v>
      </c>
      <c r="F21" s="28">
        <f t="shared" ref="F21:G22" si="1">SUMIF($E$2:$E$18,$E21,F$2:F$18)</f>
        <v>1471.2103846153846</v>
      </c>
      <c r="G21" s="28">
        <f t="shared" si="1"/>
        <v>38251.47</v>
      </c>
    </row>
    <row r="22" spans="1:23" x14ac:dyDescent="0.25">
      <c r="E22" t="s">
        <v>195</v>
      </c>
      <c r="F22" s="28">
        <f t="shared" si="1"/>
        <v>29.615384615384617</v>
      </c>
      <c r="G22" s="28">
        <f t="shared" si="1"/>
        <v>770</v>
      </c>
    </row>
  </sheetData>
  <conditionalFormatting sqref="E2:E18">
    <cfRule type="expression" dxfId="0" priority="1">
      <formula>$E2&lt;&gt;$D2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5" sqref="C5"/>
    </sheetView>
  </sheetViews>
  <sheetFormatPr defaultRowHeight="15" x14ac:dyDescent="0.25"/>
  <sheetData>
    <row r="1" spans="1:3" x14ac:dyDescent="0.35">
      <c r="A1" t="s">
        <v>139</v>
      </c>
      <c r="C1" t="s">
        <v>125</v>
      </c>
    </row>
    <row r="2" spans="1:3" x14ac:dyDescent="0.35">
      <c r="A2" t="s">
        <v>133</v>
      </c>
      <c r="C2" t="s">
        <v>140</v>
      </c>
    </row>
    <row r="3" spans="1:3" x14ac:dyDescent="0.35">
      <c r="A3" t="s">
        <v>134</v>
      </c>
      <c r="C3" t="s">
        <v>144</v>
      </c>
    </row>
    <row r="4" spans="1:3" x14ac:dyDescent="0.35">
      <c r="A4" t="s">
        <v>135</v>
      </c>
      <c r="C4" t="s">
        <v>141</v>
      </c>
    </row>
    <row r="5" spans="1:3" x14ac:dyDescent="0.35">
      <c r="A5" t="s">
        <v>157</v>
      </c>
      <c r="C5" t="s">
        <v>142</v>
      </c>
    </row>
    <row r="6" spans="1:3" x14ac:dyDescent="0.35">
      <c r="A6" t="s">
        <v>106</v>
      </c>
      <c r="C6" t="s">
        <v>143</v>
      </c>
    </row>
    <row r="7" spans="1:3" x14ac:dyDescent="0.35">
      <c r="A7" t="s">
        <v>107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House</vt:lpstr>
      <vt:lpstr>Reference</vt:lpstr>
      <vt:lpstr>already_paid</vt:lpstr>
      <vt:lpstr>annual_budget</vt:lpstr>
      <vt:lpstr>bmw_account_balance</vt:lpstr>
      <vt:lpstr>bmw_visa_balance</vt:lpstr>
      <vt:lpstr>christmas_account_balance</vt:lpstr>
      <vt:lpstr>christmas_visa_balance</vt:lpstr>
      <vt:lpstr>clothing_account_balance</vt:lpstr>
      <vt:lpstr>clothing_visa_balance</vt:lpstr>
      <vt:lpstr>family</vt:lpstr>
      <vt:lpstr>hotel_cost</vt:lpstr>
      <vt:lpstr>installments_remain</vt:lpstr>
      <vt:lpstr>pets</vt:lpstr>
      <vt:lpstr>pets_account_balance</vt:lpstr>
      <vt:lpstr>pets_visa_balance</vt:lpstr>
      <vt:lpstr>swimming_account_balance</vt:lpstr>
      <vt:lpstr>swimming_visa_balance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2018-01-17T01:14:50Z</dcterms:modified>
</cp:coreProperties>
</file>