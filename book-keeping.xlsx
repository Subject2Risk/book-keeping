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/>
  </bookViews>
  <sheets>
    <sheet name="Car" sheetId="1" r:id="rId1"/>
    <sheet name="Swimming" sheetId="2" r:id="rId2"/>
    <sheet name="Swim Budget" sheetId="4" r:id="rId3"/>
    <sheet name="Semi-Monthly Transfers" sheetId="3" r:id="rId4"/>
  </sheets>
  <definedNames>
    <definedName name="_xlnm._FilterDatabase" localSheetId="0" hidden="1">Car!$A$1:$K$102</definedName>
    <definedName name="already_paid">'Swim Budget'!$A$42</definedName>
    <definedName name="annual_budget">'Swim Budget'!$A$41</definedName>
    <definedName name="hotel_cost">'Swim Budget'!$A$36</definedName>
    <definedName name="installments_remain">'Swim Budget'!$A$43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A9" i="3" l="1"/>
  <c r="C51" i="4"/>
  <c r="C50" i="4"/>
  <c r="A50" i="4" s="1"/>
  <c r="C49" i="4"/>
  <c r="B49" i="4" s="1"/>
  <c r="B51" i="4"/>
  <c r="B50" i="4"/>
  <c r="I6" i="4"/>
  <c r="B17" i="4"/>
  <c r="B18" i="4"/>
  <c r="A17" i="4"/>
  <c r="A18" i="4"/>
  <c r="A49" i="4" l="1"/>
  <c r="A51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F41" i="4"/>
  <c r="G43" i="4"/>
  <c r="F44" i="4"/>
  <c r="F45" i="4"/>
  <c r="E46" i="4"/>
  <c r="G85" i="1"/>
  <c r="D85" i="1"/>
  <c r="G18" i="4" l="1"/>
  <c r="A10" i="4"/>
  <c r="A24" i="4" s="1"/>
  <c r="B10" i="4"/>
  <c r="B24" i="4" s="1"/>
  <c r="F15" i="4"/>
  <c r="A32" i="4" s="1"/>
  <c r="F26" i="4"/>
  <c r="B25" i="4" s="1"/>
  <c r="B11" i="4"/>
  <c r="I33" i="4"/>
  <c r="A34" i="4" l="1"/>
  <c r="A36" i="4"/>
  <c r="E18" i="4"/>
  <c r="F18" i="4" s="1"/>
  <c r="A9" i="4" s="1"/>
  <c r="A23" i="4" s="1"/>
  <c r="A26" i="4" s="1"/>
  <c r="D94" i="1"/>
  <c r="R1" i="1"/>
  <c r="G88" i="1"/>
  <c r="A12" i="4" l="1"/>
  <c r="J4" i="2"/>
  <c r="G4" i="2"/>
  <c r="D4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5" i="2"/>
  <c r="J16" i="2"/>
  <c r="J17" i="2"/>
  <c r="D3" i="2"/>
  <c r="A41" i="4" l="1"/>
  <c r="D8" i="2"/>
  <c r="D16" i="2"/>
  <c r="D14" i="2"/>
  <c r="J10" i="2"/>
  <c r="J9" i="2"/>
  <c r="D13" i="2"/>
  <c r="J5" i="2"/>
  <c r="J6" i="2"/>
  <c r="D17" i="2"/>
  <c r="D12" i="2"/>
  <c r="J15" i="2"/>
  <c r="J7" i="2"/>
  <c r="J11" i="2"/>
  <c r="J3" i="2"/>
  <c r="K82" i="1"/>
  <c r="C47" i="4" l="1"/>
  <c r="C46" i="4"/>
  <c r="C45" i="4"/>
  <c r="D75" i="1"/>
  <c r="G75" i="1"/>
  <c r="O2" i="1"/>
  <c r="R2" i="1" s="1"/>
  <c r="B45" i="4" l="1"/>
  <c r="A45" i="4"/>
  <c r="B46" i="4"/>
  <c r="A46" i="4"/>
  <c r="B47" i="4"/>
  <c r="A47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7" i="1" l="1"/>
  <c r="G97" i="1"/>
  <c r="D98" i="1"/>
  <c r="G98" i="1"/>
  <c r="D99" i="1"/>
  <c r="G99" i="1"/>
  <c r="D100" i="1"/>
  <c r="G100" i="1"/>
  <c r="D101" i="1"/>
  <c r="G101" i="1"/>
  <c r="D102" i="1"/>
  <c r="G102" i="1"/>
  <c r="G96" i="1"/>
  <c r="G95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5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<sst xmlns="http://schemas.openxmlformats.org/spreadsheetml/2006/main" count="264" uniqueCount="130">
  <si>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</si>
  <si>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</si>
  <si>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</si>
  <si>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</si>
  <si>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</si>
  <si>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</si>
  <si>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</si>
  <si>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</si>
  <si>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Reciept?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</si>
  <si>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</si>
  <si>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</si>
  <si>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</si>
  <si>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</si>
  <si>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</si>
  <si>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</si>
  <si>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</si>
  <si>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</si>
  <si>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</si>
  <si>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</si>
  <si>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</si>
  <si>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</si>
  <si>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</si>
  <si>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</si>
  <si>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</si>
  <si>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</si>
  <si>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</si>
  <si>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</si>
  <si>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</si>
  <si>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</si>
  <si>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</si>
  <si>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</si>
  <si>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</si>
  <si>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</si>
  <si>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</si>
  <si>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</si>
  <si>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</si>
  <si>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</si>
  <si>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</si>
  <si>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</si>
  <si>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</si>
  <si>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</si>
  <si>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</si>
  <si>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</si>
  <si>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</si>
  <si>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</si>
  <si>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</si>
  <si>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</si>
  <si>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</si>
  <si>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</si>
  <si>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</si>
  <si>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</si>
  <si>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</si>
  <si>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</si>
  <si>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</si>
  <si>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</si>
  <si>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</si>
  <si>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</si>
  <si>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</si>
  <si>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</si>
  <si>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</si>
  <si>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</si>
  <si>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</si>
  <si>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</si>
  <si>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</si>
  <si>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</si>
  <si>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</si>
  <si>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</si>
  <si>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</si>
  <si>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</si>
  <si>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</si>
  <si>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</si>
  <si>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</si>
  <si>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</si>
  <si>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</si>
  <si>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</si>
  <si>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</si>
  <si>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</si>
  <si>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</si>
  <si>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</si>
  <si>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</si>
  <si>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</si>
  <si>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</si>
  <si>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</si>
  <si>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</si>
  <si>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</si>
  <si>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</si>
  <si>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</si>
  <si>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</si>
  <si>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</si>
  <si>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</si>
  <si>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</si>
  <si>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</si>
  <si>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</si>
  <si>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</si>
  <si>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</si>
  <si>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</si>
  <si>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</si>
  <si>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</si>
  <si>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</si>
  <si>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</si>
  <si>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</si>
  <si>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</si>
  <si>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</si>
  <si>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</si>
  <si>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</si>
  <si>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</si>
  <si>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</si>
  <si>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</si>
  <si>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</si>
  <si>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</si>
  <si>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</si>
  <si>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</si>
  <si>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</si>
  <si>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</si>
  <si>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</si>
  <si>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</si>
  <si>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Payments Remaining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</si>
  <si>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</si>
  <si>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</si>
  <si>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</si>
  <si>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</si>
  <si>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</si>
  <si>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</si>
  <si>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</si>
  <si>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</si>
  <si>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</si>
  <si>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</si>
  <si>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</si>
  <si>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Visa Transfer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</si>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</sst>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9" formatCode="_(* #,##0_);_(* \(#,##0\);_(* &quot;-&quot;??_);_(@_)"/>
    <numFmt numFmtId="171" formatCode=";;;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23">
    <xf numFmtId="0" fontId="0" fillId="0" borderId="0" xfId="0"/>
    <xf numFmtId="164" fontId="0" fillId="0" borderId="1" xfId="1" applyFont="1" applyBorder="1"/>
    <xf numFmtId="16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4" fontId="0" fillId="0" borderId="10" xfId="1" applyFont="1" applyBorder="1"/>
    <xf numFmtId="0" fontId="0" fillId="0" borderId="10" xfId="0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0" fontId="9" fillId="0" borderId="23" xfId="0" applyFont="1" applyBorder="1" applyAlignment="1" applyProtection="1">
      <alignment horizontal="center"/>
    </xf>
    <xf numFmtId="0" fontId="9" fillId="0" borderId="24" xfId="0" applyFont="1" applyBorder="1" applyAlignment="1" applyProtection="1">
      <alignment horizontal="center"/>
    </xf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15" fontId="10" fillId="8" borderId="27" xfId="0" applyNumberFormat="1" applyFont="1" applyFill="1" applyBorder="1" applyAlignment="1" applyProtection="1">
      <alignment horizontal="center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0" fillId="0" borderId="5" xfId="0" applyBorder="1" applyAlignment="1" applyProtection="1">
      <alignment horizontal="center" vertical="center" wrapText="1"/>
    </xf>
    <xf numFmtId="0" fontId="9" fillId="0" borderId="28" xfId="0" applyFont="1" applyBorder="1" applyAlignment="1" applyProtection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0" fillId="8" borderId="0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0" fontId="0" fillId="8" borderId="0" xfId="0" applyFill="1" applyBorder="1" applyAlignment="1" applyProtection="1">
      <alignment horizontal="left"/>
    </xf>
    <xf numFmtId="0" fontId="0" fillId="0" borderId="0" xfId="0" applyBorder="1" applyAlignment="1" applyProtection="1">
      <alignment horizontal="center" vertical="center" wrapText="1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0" fillId="0" borderId="30" xfId="0" applyBorder="1" applyAlignment="1" applyProtection="1">
      <alignment horizontal="center"/>
    </xf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9" fontId="5" fillId="4" borderId="34" xfId="2" applyNumberFormat="1" applyFont="1" applyFill="1" applyBorder="1" applyProtection="1">
      <protection locked="0"/>
    </xf>
    <xf numFmtId="0" fontId="0" fillId="0" borderId="0" xfId="0" applyBorder="1" applyAlignment="1" applyProtection="1">
      <alignment horizontal="left" vertical="center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0" fontId="9" fillId="0" borderId="22" xfId="0" applyFont="1" applyBorder="1" applyAlignment="1" applyProtection="1">
      <alignment horizontal="center"/>
    </xf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71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9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8" fontId="0" fillId="0" borderId="0" xfId="0" applyNumberFormat="1"/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7"/>
  <sheetViews>
    <sheetView tabSelected="1" workbookViewId="0">
      <pane ySplit="900" topLeftCell="A64" activePane="bottomLeft"/>
      <selection activeCell="P1" sqref="P1"/>
      <selection pane="bottomLeft" activeCell="G93" sqref="G93"/>
    </sheetView>
  </sheetViews>
  <sheetFormatPr defaultRowHeight="15" x14ac:dyDescent="0.25"/>
  <cols>
    <col min="1" max="1" width="27.85546875" bestFit="1" customWidth="1"/>
    <col min="2" max="2" width="10.5703125" style="3" bestFit="1" customWidth="1"/>
    <col min="3" max="3" width="10.5703125" style="17" bestFit="1" customWidth="1"/>
    <col min="4" max="4" width="7.85546875" style="4" bestFit="1" customWidth="1"/>
    <col min="5" max="5" width="10.5703125" style="3" bestFit="1" customWidth="1"/>
    <col min="6" max="6" width="10.5703125" style="17" bestFit="1" customWidth="1"/>
    <col min="7" max="7" width="9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</cols>
  <sheetData>
    <row r="1" spans="1:18" x14ac:dyDescent="0.25">
      <c r="A1" s="35" t="s">
        <v>0</v>
      </c>
      <c r="B1" s="37" t="s">
        <v>1</v>
      </c>
      <c r="C1" s="38"/>
      <c r="D1" s="39"/>
      <c r="E1" s="37" t="s">
        <v>2</v>
      </c>
      <c r="F1" s="38"/>
      <c r="G1" s="39"/>
      <c r="H1" s="35" t="s">
        <v>8</v>
      </c>
      <c r="I1" s="35" t="s">
        <v>18</v>
      </c>
      <c r="J1" s="35" t="s">
        <v>20</v>
      </c>
      <c r="K1" s="35" t="s">
        <v>3</v>
      </c>
      <c r="M1" t="s">
        <v>15</v>
      </c>
      <c r="N1" s="32">
        <v>222.42</v>
      </c>
      <c r="O1" s="32"/>
      <c r="R1" s="34">
        <f>SUM(B$3:B201)-SUM(C$3:C201)-N1</f>
        <v>-8.2422957348171622E-13</v>
      </c>
    </row>
    <row r="2" spans="1:18" x14ac:dyDescent="0.25">
      <c r="A2" s="36"/>
      <c r="B2" s="5" t="s">
        <v>4</v>
      </c>
      <c r="C2" s="13" t="s">
        <v>5</v>
      </c>
      <c r="D2" s="6" t="s">
        <v>37</v>
      </c>
      <c r="E2" s="5" t="s">
        <v>4</v>
      </c>
      <c r="F2" s="13" t="s">
        <v>5</v>
      </c>
      <c r="G2" s="6" t="s">
        <v>37</v>
      </c>
      <c r="H2" s="36"/>
      <c r="I2" s="36"/>
      <c r="J2" s="36"/>
      <c r="K2" s="36"/>
      <c r="M2" t="s">
        <v>14</v>
      </c>
      <c r="N2" s="32">
        <v>82.97</v>
      </c>
      <c r="O2" s="33">
        <f>N2+N1</f>
        <v>305.39</v>
      </c>
      <c r="P2" t="s">
        <v>56</v>
      </c>
      <c r="R2" s="34">
        <f>SUM(B$3:B201)-SUM(C$3:C201)-O2</f>
        <v>-82.970000000000823</v>
      </c>
    </row>
    <row r="3" spans="1:18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10</v>
      </c>
      <c r="K3" s="22" t="s">
        <v>6</v>
      </c>
    </row>
    <row r="4" spans="1:18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15</v>
      </c>
      <c r="K4" s="22" t="s">
        <v>7</v>
      </c>
    </row>
    <row r="5" spans="1:18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11</v>
      </c>
      <c r="K5" s="22" t="s">
        <v>21</v>
      </c>
    </row>
    <row r="6" spans="1:18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19</v>
      </c>
      <c r="K6" s="23" t="s">
        <v>7</v>
      </c>
    </row>
    <row r="7" spans="1:18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19</v>
      </c>
      <c r="K7" s="23" t="s">
        <v>21</v>
      </c>
    </row>
    <row r="8" spans="1:18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27</v>
      </c>
      <c r="K8" s="23" t="s">
        <v>28</v>
      </c>
    </row>
    <row r="9" spans="1:18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29</v>
      </c>
      <c r="K9" s="22"/>
    </row>
    <row r="10" spans="1:18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8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29</v>
      </c>
      <c r="K11" s="22"/>
    </row>
    <row r="12" spans="1:18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27</v>
      </c>
      <c r="K12" s="23" t="s">
        <v>28</v>
      </c>
    </row>
    <row r="13" spans="1:18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11</v>
      </c>
      <c r="K13" s="23" t="s">
        <v>28</v>
      </c>
    </row>
    <row r="14" spans="1:18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22</v>
      </c>
      <c r="K14" s="23" t="s">
        <v>9</v>
      </c>
    </row>
    <row r="15" spans="1:18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19</v>
      </c>
      <c r="K15" s="22" t="s">
        <v>9</v>
      </c>
    </row>
    <row r="16" spans="1:18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10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10</v>
      </c>
      <c r="K17" s="22" t="s">
        <v>38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11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23</v>
      </c>
      <c r="K20" s="23" t="s">
        <v>12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19</v>
      </c>
      <c r="K21" s="22" t="s">
        <v>12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24</v>
      </c>
      <c r="K22" s="22" t="s">
        <v>13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11</v>
      </c>
      <c r="K23" s="22" t="s">
        <v>36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14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15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16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10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43</v>
      </c>
      <c r="K28" s="22" t="s">
        <v>17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19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11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19</v>
      </c>
      <c r="K31" s="23" t="s">
        <v>11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30</v>
      </c>
      <c r="K32" s="23" t="s">
        <v>31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15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16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10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10</v>
      </c>
      <c r="K36" s="23" t="s">
        <v>38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19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16</v>
      </c>
      <c r="K38" s="23" t="s">
        <v>25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10</v>
      </c>
      <c r="K39" s="22" t="s">
        <v>26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11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29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11</v>
      </c>
      <c r="K42" s="23" t="s">
        <v>32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11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27</v>
      </c>
      <c r="K44" s="23" t="s">
        <v>33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29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29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29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30</v>
      </c>
      <c r="K48" s="23" t="s">
        <v>34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11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29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30</v>
      </c>
      <c r="K51" s="28" t="s">
        <v>35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15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16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11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10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11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11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29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10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19</v>
      </c>
      <c r="K60" s="23" t="s">
        <v>42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19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15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40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11</v>
      </c>
      <c r="K64" s="22"/>
    </row>
    <row r="65" spans="1:11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10</v>
      </c>
      <c r="K65" s="22"/>
    </row>
    <row r="66" spans="1:11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11</v>
      </c>
      <c r="K66" s="23" t="s">
        <v>32</v>
      </c>
    </row>
    <row r="67" spans="1:11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14</v>
      </c>
      <c r="K67" s="23"/>
    </row>
    <row r="68" spans="1:11" x14ac:dyDescent="0.25">
      <c r="A68" s="12">
        <v>42956</v>
      </c>
      <c r="B68" s="9"/>
      <c r="C68" s="15"/>
      <c r="D68" s="19">
        <f>IF(NOT(ISBLANK($A68)),SUM(B$3:B68)-SUM(C$3:C68),"")</f>
        <v>618.08999999999969</v>
      </c>
      <c r="E68" s="9"/>
      <c r="F68" s="15">
        <v>33</v>
      </c>
      <c r="G68" s="19">
        <f>IF(NOT(ISBLANK($A68)),SUM(E$3:E68)-SUM(F$3:F68),"")</f>
        <v>-842.24000000000024</v>
      </c>
      <c r="H68" s="10" t="b">
        <v>1</v>
      </c>
      <c r="I68" s="21"/>
      <c r="J68" s="10" t="s">
        <v>43</v>
      </c>
      <c r="K68" s="23" t="s">
        <v>44</v>
      </c>
    </row>
    <row r="69" spans="1:11" x14ac:dyDescent="0.25">
      <c r="A69" s="11">
        <v>42957</v>
      </c>
      <c r="B69" s="7"/>
      <c r="C69" s="14">
        <v>355.93</v>
      </c>
      <c r="D69" s="18">
        <f>IF(NOT(ISBLANK($A69)),SUM(B$3:B69)-SUM(C$3:C69),"")</f>
        <v>262.15999999999985</v>
      </c>
      <c r="E69" s="7"/>
      <c r="F69" s="14"/>
      <c r="G69" s="18">
        <f>IF(NOT(ISBLANK($A69)),SUM(E$3:E69)-SUM(F$3:F69),"")</f>
        <v>-842.24000000000024</v>
      </c>
      <c r="H69" s="8" t="b">
        <v>1</v>
      </c>
      <c r="I69" s="20"/>
      <c r="J69" s="8" t="s">
        <v>39</v>
      </c>
      <c r="K69" s="22" t="s">
        <v>41</v>
      </c>
    </row>
    <row r="70" spans="1:11" x14ac:dyDescent="0.25">
      <c r="A70" s="11">
        <v>42957</v>
      </c>
      <c r="B70" s="7"/>
      <c r="C70" s="14">
        <v>351.77</v>
      </c>
      <c r="D70" s="18">
        <f>IF(NOT(ISBLANK($A70)),SUM(B$3:B70)-SUM(C$3:C70),"")</f>
        <v>-89.610000000000582</v>
      </c>
      <c r="E70" s="7">
        <v>351.77</v>
      </c>
      <c r="F70" s="14"/>
      <c r="G70" s="18">
        <f>IF(NOT(ISBLANK($A70)),SUM(E$3:E70)-SUM(F$3:F70),"")</f>
        <v>-490.47000000000025</v>
      </c>
      <c r="H70" s="8"/>
      <c r="I70" s="20"/>
      <c r="J70" s="8" t="s">
        <v>19</v>
      </c>
      <c r="K70" s="22"/>
    </row>
    <row r="71" spans="1:11" x14ac:dyDescent="0.25">
      <c r="A71" s="11">
        <v>42957</v>
      </c>
      <c r="B71" s="7">
        <v>400</v>
      </c>
      <c r="C71" s="14"/>
      <c r="D71" s="18">
        <f>IF(NOT(ISBLANK($A71)),SUM(B$3:B71)-SUM(C$3:C71),"")</f>
        <v>310.38999999999942</v>
      </c>
      <c r="E71" s="7"/>
      <c r="F71" s="14"/>
      <c r="G71" s="18">
        <f>IF(NOT(ISBLANK($A71)),SUM(E$3:E71)-SUM(F$3:F71),"")</f>
        <v>-490.47000000000025</v>
      </c>
      <c r="H71" s="8"/>
      <c r="I71" s="20"/>
      <c r="J71" s="8" t="s">
        <v>10</v>
      </c>
      <c r="K71" s="22"/>
    </row>
    <row r="72" spans="1:11" x14ac:dyDescent="0.25">
      <c r="A72" s="12">
        <v>42957</v>
      </c>
      <c r="B72" s="9"/>
      <c r="C72" s="15">
        <v>5</v>
      </c>
      <c r="D72" s="19">
        <f>IF(NOT(ISBLANK($A72)),SUM(B$3:B72)-SUM(C$3:C72),"")</f>
        <v>305.38999999999942</v>
      </c>
      <c r="E72" s="9"/>
      <c r="F72" s="15"/>
      <c r="G72" s="19">
        <f>IF(NOT(ISBLANK($A72)),SUM(E$3:E72)-SUM(F$3:F72),"")</f>
        <v>-490.47000000000025</v>
      </c>
      <c r="H72" s="10" t="b">
        <v>1</v>
      </c>
      <c r="I72" s="21"/>
      <c r="J72" s="10" t="s">
        <v>29</v>
      </c>
      <c r="K72" s="23" t="s">
        <v>45</v>
      </c>
    </row>
    <row r="73" spans="1:11" x14ac:dyDescent="0.25">
      <c r="A73" s="12">
        <v>42957</v>
      </c>
      <c r="B73" s="9"/>
      <c r="C73" s="15">
        <v>222.42</v>
      </c>
      <c r="D73" s="19">
        <f>IF(NOT(ISBLANK($A73)),SUM(B$3:B73)-SUM(C$3:C73),"")</f>
        <v>82.969999999999345</v>
      </c>
      <c r="E73" s="9"/>
      <c r="F73" s="15"/>
      <c r="G73" s="19">
        <f>IF(NOT(ISBLANK($A73)),SUM(E$3:E73)-SUM(F$3:F73),"")</f>
        <v>-490.47000000000025</v>
      </c>
      <c r="H73" s="10"/>
      <c r="I73" s="21"/>
      <c r="J73" s="10" t="s">
        <v>15</v>
      </c>
      <c r="K73" s="23"/>
    </row>
    <row r="74" spans="1:11" x14ac:dyDescent="0.25">
      <c r="A74" s="12">
        <v>42962</v>
      </c>
      <c r="B74" s="9">
        <v>450</v>
      </c>
      <c r="C74" s="15"/>
      <c r="D74" s="19">
        <f>IF(NOT(ISBLANK($A74)),SUM(B$3:B75)-SUM(C$3:C75),"")</f>
        <v>532.96999999999935</v>
      </c>
      <c r="E74" s="9"/>
      <c r="F74" s="15"/>
      <c r="G74" s="19">
        <f>IF(NOT(ISBLANK($A74)),SUM(E$3:E75)-SUM(F$3:F75),"")</f>
        <v>-678.05000000000018</v>
      </c>
      <c r="H74" s="10"/>
      <c r="I74" s="21"/>
      <c r="J74" s="10" t="s">
        <v>10</v>
      </c>
      <c r="K74" s="23"/>
    </row>
    <row r="75" spans="1:11" x14ac:dyDescent="0.25">
      <c r="A75" s="11">
        <v>42964</v>
      </c>
      <c r="B75" s="7"/>
      <c r="C75" s="14"/>
      <c r="D75" s="18">
        <f>IF(NOT(ISBLANK($A75)),SUM(B$3:B75)-SUM(C$3:C75),"")</f>
        <v>532.96999999999935</v>
      </c>
      <c r="E75" s="7"/>
      <c r="F75" s="14">
        <v>187.58</v>
      </c>
      <c r="G75" s="18">
        <f>IF(NOT(ISBLANK($A75)),SUM(E$3:E75)-SUM(F$3:F75),"")</f>
        <v>-678.05000000000018</v>
      </c>
      <c r="H75" s="8" t="b">
        <v>1</v>
      </c>
      <c r="I75" s="20">
        <v>64493</v>
      </c>
      <c r="J75" s="8" t="s">
        <v>46</v>
      </c>
      <c r="K75" s="22"/>
    </row>
    <row r="76" spans="1:11" x14ac:dyDescent="0.25">
      <c r="A76" s="11">
        <v>42963</v>
      </c>
      <c r="B76" s="7"/>
      <c r="C76" s="14"/>
      <c r="D76" s="18">
        <f>IF(NOT(ISBLANK($A76)),SUM(B$3:B76)-SUM(C$3:C76),"")</f>
        <v>532.96999999999935</v>
      </c>
      <c r="E76" s="7"/>
      <c r="F76" s="14">
        <v>52.66</v>
      </c>
      <c r="G76" s="18">
        <f>IF(NOT(ISBLANK($A76)),SUM(E$3:E76)-SUM(F$3:F76),"")</f>
        <v>-730.71000000000049</v>
      </c>
      <c r="H76" s="8" t="b">
        <v>1</v>
      </c>
      <c r="I76" s="20">
        <v>64709</v>
      </c>
      <c r="J76" s="8" t="s">
        <v>11</v>
      </c>
      <c r="K76" s="22"/>
    </row>
    <row r="77" spans="1:11" x14ac:dyDescent="0.25">
      <c r="A77" s="11">
        <v>42970</v>
      </c>
      <c r="B77" s="7"/>
      <c r="C77" s="14"/>
      <c r="D77" s="18">
        <f>IF(NOT(ISBLANK($A77)),SUM(B$3:B77)-SUM(C$3:C77),"")</f>
        <v>532.96999999999935</v>
      </c>
      <c r="E77" s="7"/>
      <c r="F77" s="14">
        <v>0.36</v>
      </c>
      <c r="G77" s="18">
        <f>IF(NOT(ISBLANK($A77)),SUM(E$3:E77)-SUM(F$3:F77),"")</f>
        <v>-731.07000000000016</v>
      </c>
      <c r="H77" s="8" t="b">
        <v>1</v>
      </c>
      <c r="I77" s="20">
        <v>65220</v>
      </c>
      <c r="J77" s="8" t="s">
        <v>11</v>
      </c>
      <c r="K77" s="22"/>
    </row>
    <row r="78" spans="1:11" x14ac:dyDescent="0.25">
      <c r="A78" s="12">
        <v>42970</v>
      </c>
      <c r="B78" s="9"/>
      <c r="C78" s="15"/>
      <c r="D78" s="19">
        <f>IF(NOT(ISBLANK($A78)),SUM(B$3:B78)-SUM(C$3:C78),"")</f>
        <v>532.96999999999935</v>
      </c>
      <c r="E78" s="9"/>
      <c r="F78" s="15">
        <v>53</v>
      </c>
      <c r="G78" s="19">
        <f>IF(NOT(ISBLANK($A78)),SUM(E$3:E78)-SUM(F$3:F78),"")</f>
        <v>-784.07000000000016</v>
      </c>
      <c r="H78" s="10" t="b">
        <v>1</v>
      </c>
      <c r="I78" s="21">
        <v>65220</v>
      </c>
      <c r="J78" s="10" t="s">
        <v>11</v>
      </c>
      <c r="K78" s="23"/>
    </row>
    <row r="79" spans="1:11" x14ac:dyDescent="0.25">
      <c r="A79" s="12">
        <v>42970</v>
      </c>
      <c r="B79" s="9"/>
      <c r="C79" s="15"/>
      <c r="D79" s="19">
        <f>IF(NOT(ISBLANK($A79)),SUM(B$3:B79)-SUM(C$3:C79),"")</f>
        <v>532.96999999999935</v>
      </c>
      <c r="E79" s="9"/>
      <c r="F79" s="15">
        <v>13.52</v>
      </c>
      <c r="G79" s="19">
        <f>IF(NOT(ISBLANK($A79)),SUM(E$3:E79)-SUM(F$3:F79),"")</f>
        <v>-797.5900000000006</v>
      </c>
      <c r="H79" s="10" t="b">
        <v>1</v>
      </c>
      <c r="I79" s="21">
        <v>65764</v>
      </c>
      <c r="J79" s="10" t="s">
        <v>11</v>
      </c>
      <c r="K79" s="23"/>
    </row>
    <row r="80" spans="1:11" x14ac:dyDescent="0.25">
      <c r="A80" s="12">
        <v>42970</v>
      </c>
      <c r="B80" s="9"/>
      <c r="C80" s="15"/>
      <c r="D80" s="19">
        <f>IF(NOT(ISBLANK($A80)),SUM(B$3:B80)-SUM(C$3:C80),"")</f>
        <v>532.96999999999935</v>
      </c>
      <c r="E80" s="9"/>
      <c r="F80" s="15">
        <v>13.63</v>
      </c>
      <c r="G80" s="19">
        <f>IF(NOT(ISBLANK($A80)),SUM(E$3:E80)-SUM(F$3:F80),"")</f>
        <v>-811.22000000000071</v>
      </c>
      <c r="H80" s="10" t="b">
        <v>1</v>
      </c>
      <c r="I80" s="21">
        <v>65764</v>
      </c>
      <c r="J80" s="10" t="s">
        <v>11</v>
      </c>
      <c r="K80" s="23"/>
    </row>
    <row r="81" spans="1:11" x14ac:dyDescent="0.25">
      <c r="A81" s="11">
        <v>42971</v>
      </c>
      <c r="B81" s="7"/>
      <c r="C81" s="14">
        <v>222.42</v>
      </c>
      <c r="D81" s="18">
        <f>IF(NOT(ISBLANK($A81)),SUM(B$3:B81)-SUM(C$3:C81),"")</f>
        <v>310.54999999999927</v>
      </c>
      <c r="E81" s="7"/>
      <c r="F81" s="14"/>
      <c r="G81" s="18">
        <f>IF(NOT(ISBLANK($A81)),SUM(E$3:E81)-SUM(F$3:F81),"")</f>
        <v>-811.22000000000071</v>
      </c>
      <c r="H81" s="8"/>
      <c r="I81" s="20"/>
      <c r="J81" s="8" t="s">
        <v>15</v>
      </c>
      <c r="K81" s="22"/>
    </row>
    <row r="82" spans="1:11" x14ac:dyDescent="0.25">
      <c r="A82" s="11">
        <v>42974</v>
      </c>
      <c r="B82" s="7"/>
      <c r="C82" s="14"/>
      <c r="D82" s="18">
        <f>IF(NOT(ISBLANK($A82)),SUM(B$3:B82)-SUM(C$3:C82),"")</f>
        <v>310.54999999999927</v>
      </c>
      <c r="E82" s="7"/>
      <c r="F82" s="14">
        <v>38.4</v>
      </c>
      <c r="G82" s="18">
        <f>IF(NOT(ISBLANK($A82)),SUM(E$3:E82)-SUM(F$3:F82),"")</f>
        <v>-849.62000000000035</v>
      </c>
      <c r="H82" s="8" t="b">
        <v>1</v>
      </c>
      <c r="I82" s="20">
        <v>65764</v>
      </c>
      <c r="J82" s="8" t="s">
        <v>11</v>
      </c>
      <c r="K82" s="22" t="str">
        <f>"Car wash portion:"&amp;TEXT(F82-22.59,"$#,##0.00")</f>
        <v>Car wash portion:$15.81</v>
      </c>
    </row>
    <row r="83" spans="1:11" x14ac:dyDescent="0.25">
      <c r="A83" s="11">
        <v>42976</v>
      </c>
      <c r="B83" s="7"/>
      <c r="C83" s="14">
        <v>310.55</v>
      </c>
      <c r="D83" s="18">
        <f>IF(NOT(ISBLANK($A83)),SUM(B$3:B83)-SUM(C$3:C83),"")</f>
        <v>-9.0949470177292824E-13</v>
      </c>
      <c r="E83" s="7">
        <v>310.55</v>
      </c>
      <c r="F83" s="14"/>
      <c r="G83" s="18">
        <f>IF(NOT(ISBLANK($A83)),SUM(E$3:E83)-SUM(F$3:F83),"")</f>
        <v>-539.07000000000016</v>
      </c>
      <c r="H83" s="8"/>
      <c r="I83" s="20"/>
      <c r="J83" s="8" t="s">
        <v>19</v>
      </c>
      <c r="K83" s="22"/>
    </row>
    <row r="84" spans="1:11" x14ac:dyDescent="0.25">
      <c r="A84" s="12">
        <v>42977</v>
      </c>
      <c r="B84" s="9">
        <v>450</v>
      </c>
      <c r="C84" s="15"/>
      <c r="D84" s="19">
        <f>IF(NOT(ISBLANK($A84)),SUM(B$3:B84)-SUM(C$3:C84),"")</f>
        <v>449.99999999999909</v>
      </c>
      <c r="E84" s="9"/>
      <c r="F84" s="15"/>
      <c r="G84" s="19">
        <f>IF(NOT(ISBLANK($A84)),SUM(E$3:E84)-SUM(F$3:F84),"")</f>
        <v>-539.07000000000016</v>
      </c>
      <c r="H84" s="10"/>
      <c r="I84" s="21"/>
      <c r="J84" s="10" t="s">
        <v>10</v>
      </c>
      <c r="K84" s="23"/>
    </row>
    <row r="85" spans="1:11" x14ac:dyDescent="0.25">
      <c r="A85" s="12">
        <v>42983</v>
      </c>
      <c r="B85" s="9"/>
      <c r="C85" s="15"/>
      <c r="D85" s="19">
        <f>IF(NOT(ISBLANK($A85)),SUM(B$3:B85)-SUM(C$3:C85),"")</f>
        <v>449.99999999999909</v>
      </c>
      <c r="E85" s="9"/>
      <c r="F85" s="15">
        <v>3</v>
      </c>
      <c r="G85" s="19">
        <f>IF(NOT(ISBLANK($A85)),SUM(E$3:E85)-SUM(F$3:F85),"")</f>
        <v>-542.07000000000016</v>
      </c>
      <c r="H85" s="10"/>
      <c r="I85" s="21"/>
      <c r="J85" s="10" t="s">
        <v>29</v>
      </c>
      <c r="K85" s="23"/>
    </row>
    <row r="86" spans="1:11" x14ac:dyDescent="0.25">
      <c r="A86" s="12">
        <v>42983</v>
      </c>
      <c r="B86" s="9"/>
      <c r="C86" s="15">
        <v>144.61000000000001</v>
      </c>
      <c r="D86" s="19">
        <f>IF(NOT(ISBLANK($A86)),SUM(B$3:B86)-SUM(C$3:C86),"")</f>
        <v>305.38999999999942</v>
      </c>
      <c r="E86" s="9">
        <v>144.61000000000001</v>
      </c>
      <c r="F86" s="15"/>
      <c r="G86" s="19">
        <f>IF(NOT(ISBLANK($A86)),SUM(E$3:E86)-SUM(F$3:F86),"")</f>
        <v>-397.46000000000004</v>
      </c>
      <c r="H86" s="10"/>
      <c r="I86" s="21"/>
      <c r="J86" s="10" t="s">
        <v>19</v>
      </c>
      <c r="K86" s="23"/>
    </row>
    <row r="87" spans="1:11" x14ac:dyDescent="0.25">
      <c r="A87" s="11">
        <v>42985</v>
      </c>
      <c r="B87" s="7"/>
      <c r="C87" s="14">
        <v>82.97</v>
      </c>
      <c r="D87" s="18">
        <f>IF(NOT(ISBLANK($A87)),SUM(B$3:B87)-SUM(C$3:C87),"")</f>
        <v>222.41999999999916</v>
      </c>
      <c r="E87" s="7"/>
      <c r="F87" s="14"/>
      <c r="G87" s="18">
        <f>IF(NOT(ISBLANK($A87)),SUM(E$3:E87)-SUM(F$3:F87),"")</f>
        <v>-397.46000000000004</v>
      </c>
      <c r="H87" s="8"/>
      <c r="I87" s="20"/>
      <c r="J87" s="8" t="s">
        <v>14</v>
      </c>
      <c r="K87" s="22"/>
    </row>
    <row r="88" spans="1:11" x14ac:dyDescent="0.25">
      <c r="A88" s="11">
        <v>42985</v>
      </c>
      <c r="B88" s="7"/>
      <c r="C88" s="14"/>
      <c r="D88" s="18">
        <f>IF(NOT(ISBLANK($A88)),SUM(B$3:B88)-SUM(C$3:C88),"")</f>
        <v>222.41999999999916</v>
      </c>
      <c r="E88" s="7"/>
      <c r="F88" s="14">
        <v>75</v>
      </c>
      <c r="G88" s="18">
        <f>IF(NOT(ISBLANK($A88)),SUM(E$3:E88)-SUM(F$3:F88),"")</f>
        <v>-472.46000000000004</v>
      </c>
      <c r="H88" s="8" t="b">
        <v>1</v>
      </c>
      <c r="I88" s="20">
        <v>66364</v>
      </c>
      <c r="J88" s="8" t="s">
        <v>11</v>
      </c>
      <c r="K88" s="22"/>
    </row>
    <row r="89" spans="1:11" x14ac:dyDescent="0.25">
      <c r="A89" s="11">
        <v>42987</v>
      </c>
      <c r="B89" s="7"/>
      <c r="C89" s="14">
        <v>222.42</v>
      </c>
      <c r="D89" s="18">
        <f>IF(NOT(ISBLANK($A89)),SUM(B$3:B89)-SUM(C$3:C89),"")</f>
        <v>-9.0949470177292824E-13</v>
      </c>
      <c r="E89" s="7"/>
      <c r="F89" s="14"/>
      <c r="G89" s="18">
        <f>IF(NOT(ISBLANK($A89)),SUM(E$3:E89)-SUM(F$3:F89),"")</f>
        <v>-472.46000000000004</v>
      </c>
      <c r="H89" s="8"/>
      <c r="I89" s="20"/>
      <c r="J89" s="8" t="s">
        <v>15</v>
      </c>
      <c r="K89" s="22"/>
    </row>
    <row r="90" spans="1:11" x14ac:dyDescent="0.25">
      <c r="A90" s="12">
        <v>42992</v>
      </c>
      <c r="B90" s="9"/>
      <c r="C90" s="15"/>
      <c r="D90" s="19">
        <f>IF(NOT(ISBLANK($A90)),SUM(B$3:B90)-SUM(C$3:C90),"")</f>
        <v>-9.0949470177292824E-13</v>
      </c>
      <c r="E90" s="9"/>
      <c r="F90" s="15">
        <v>42.93</v>
      </c>
      <c r="G90" s="19">
        <f>IF(NOT(ISBLANK($A90)),SUM(E$3:E90)-SUM(F$3:F90),"")</f>
        <v>-515.39000000000033</v>
      </c>
      <c r="H90" s="10" t="b">
        <v>1</v>
      </c>
      <c r="I90" s="21">
        <v>66796</v>
      </c>
      <c r="J90" s="10" t="s">
        <v>40</v>
      </c>
      <c r="K90" s="23"/>
    </row>
    <row r="91" spans="1:11" x14ac:dyDescent="0.25">
      <c r="A91" s="12">
        <v>42995</v>
      </c>
      <c r="B91" s="9"/>
      <c r="C91" s="15"/>
      <c r="D91" s="19">
        <f>IF(NOT(ISBLANK($A91)),SUM(B$3:B91)-SUM(C$3:C91),"")</f>
        <v>-9.0949470177292824E-13</v>
      </c>
      <c r="E91" s="9"/>
      <c r="F91" s="15">
        <v>67</v>
      </c>
      <c r="G91" s="19">
        <f>IF(NOT(ISBLANK($A91)),SUM(E$3:E91)-SUM(F$3:F91),"")</f>
        <v>-582.39000000000033</v>
      </c>
      <c r="H91" s="10" t="b">
        <v>1</v>
      </c>
      <c r="I91" s="21">
        <v>66883</v>
      </c>
      <c r="J91" s="10" t="s">
        <v>11</v>
      </c>
      <c r="K91" s="23"/>
    </row>
    <row r="92" spans="1:11" x14ac:dyDescent="0.25">
      <c r="A92" s="12">
        <v>42996</v>
      </c>
      <c r="B92" s="9">
        <v>450</v>
      </c>
      <c r="C92" s="15"/>
      <c r="D92" s="19">
        <f>IF(NOT(ISBLANK($A92)),SUM(B$3:B92)-SUM(C$3:C92),"")</f>
        <v>449.99999999999909</v>
      </c>
      <c r="E92" s="9"/>
      <c r="F92" s="15"/>
      <c r="G92" s="19">
        <f>IF(NOT(ISBLANK($A92)),SUM(E$3:E92)-SUM(F$3:F92),"")</f>
        <v>-582.39000000000033</v>
      </c>
      <c r="H92" s="10"/>
      <c r="I92" s="21"/>
      <c r="J92" s="10" t="s">
        <v>10</v>
      </c>
      <c r="K92" s="23"/>
    </row>
    <row r="93" spans="1:11" x14ac:dyDescent="0.25">
      <c r="A93" s="11">
        <v>42996</v>
      </c>
      <c r="B93" s="7"/>
      <c r="C93" s="14">
        <v>227.58</v>
      </c>
      <c r="D93" s="18">
        <f>IF(NOT(ISBLANK($A93)),SUM(B$3:B93)-SUM(C$3:C93),"")</f>
        <v>222.41999999999916</v>
      </c>
      <c r="E93" s="7">
        <v>227.58</v>
      </c>
      <c r="F93" s="14"/>
      <c r="G93" s="18">
        <f>IF(NOT(ISBLANK($A93)),SUM(E$3:E93)-SUM(F$3:F93),"")</f>
        <v>-354.8100000000004</v>
      </c>
      <c r="H93" s="8"/>
      <c r="I93" s="20"/>
      <c r="J93" s="8" t="s">
        <v>19</v>
      </c>
      <c r="K93" s="22"/>
    </row>
    <row r="94" spans="1:11" x14ac:dyDescent="0.25">
      <c r="A94" s="11"/>
      <c r="B94" s="7"/>
      <c r="C94" s="14"/>
      <c r="D94" s="18" t="str">
        <f>IF(NOT(ISBLANK($A94)),SUM(B$3:B94)-SUM(C$3:C94),"")</f>
        <v/>
      </c>
      <c r="E94" s="7"/>
      <c r="F94" s="14"/>
      <c r="G94" s="18" t="str">
        <f>IF(NOT(ISBLANK($A94)),SUM(E$3:E94)-SUM(F$3:F94),"")</f>
        <v/>
      </c>
      <c r="H94" s="8"/>
      <c r="I94" s="20"/>
      <c r="J94" s="8"/>
      <c r="K94" s="22"/>
    </row>
    <row r="95" spans="1:11" x14ac:dyDescent="0.25">
      <c r="A95" s="11"/>
      <c r="B95" s="7"/>
      <c r="C95" s="14"/>
      <c r="D95" s="18" t="str">
        <f>IF(NOT(ISBLANK($A95)),SUM(B$3:B95)-SUM(C$3:C95),"")</f>
        <v/>
      </c>
      <c r="E95" s="7"/>
      <c r="F95" s="14"/>
      <c r="G95" s="18" t="str">
        <f>IF(NOT(ISBLANK($A95)),SUM(E$3:E95)-SUM(F$3:F95),"")</f>
        <v/>
      </c>
      <c r="H95" s="8"/>
      <c r="I95" s="20"/>
      <c r="J95" s="8"/>
      <c r="K95" s="22"/>
    </row>
    <row r="96" spans="1:11" x14ac:dyDescent="0.25">
      <c r="A96" s="12"/>
      <c r="B96" s="9"/>
      <c r="C96" s="15"/>
      <c r="D96" s="19" t="str">
        <f>IF(NOT(ISBLANK($A96)),SUM(B$3:B96)-SUM(C$3:C96),"")</f>
        <v/>
      </c>
      <c r="E96" s="9"/>
      <c r="F96" s="15"/>
      <c r="G96" s="19" t="str">
        <f>IF(NOT(ISBLANK($A96)),SUM(E$3:E96)-SUM(F$3:F96),"")</f>
        <v/>
      </c>
      <c r="H96" s="10"/>
      <c r="I96" s="21"/>
      <c r="J96" s="10"/>
      <c r="K96" s="23"/>
    </row>
    <row r="97" spans="1:11" x14ac:dyDescent="0.25">
      <c r="A97" s="12"/>
      <c r="B97" s="9"/>
      <c r="C97" s="15"/>
      <c r="D97" s="19" t="str">
        <f>IF(NOT(ISBLANK($A97)),SUM(B$3:B97)-SUM(C$3:C97),"")</f>
        <v/>
      </c>
      <c r="E97" s="9"/>
      <c r="F97" s="15"/>
      <c r="G97" s="19" t="str">
        <f>IF(NOT(ISBLANK($A97)),SUM(E$3:E97)-SUM(F$3:F97),"")</f>
        <v/>
      </c>
      <c r="H97" s="10"/>
      <c r="I97" s="21"/>
      <c r="J97" s="10"/>
      <c r="K97" s="23"/>
    </row>
    <row r="98" spans="1:11" x14ac:dyDescent="0.25">
      <c r="A98" s="12"/>
      <c r="B98" s="9"/>
      <c r="C98" s="15"/>
      <c r="D98" s="19" t="str">
        <f>IF(NOT(ISBLANK($A98)),SUM(B$3:B98)-SUM(C$3:C98),"")</f>
        <v/>
      </c>
      <c r="E98" s="9"/>
      <c r="F98" s="15"/>
      <c r="G98" s="19" t="str">
        <f>IF(NOT(ISBLANK($A98)),SUM(E$3:E98)-SUM(F$3:F98),"")</f>
        <v/>
      </c>
      <c r="H98" s="10"/>
      <c r="I98" s="21"/>
      <c r="J98" s="10"/>
      <c r="K98" s="23"/>
    </row>
    <row r="99" spans="1:11" x14ac:dyDescent="0.25">
      <c r="A99" s="11"/>
      <c r="B99" s="7"/>
      <c r="C99" s="14"/>
      <c r="D99" s="18" t="str">
        <f>IF(NOT(ISBLANK($A99)),SUM(B$3:B99)-SUM(C$3:C99),"")</f>
        <v/>
      </c>
      <c r="E99" s="7"/>
      <c r="F99" s="14"/>
      <c r="G99" s="18" t="str">
        <f>IF(NOT(ISBLANK($A99)),SUM(E$3:E99)-SUM(F$3:F99),"")</f>
        <v/>
      </c>
      <c r="H99" s="8"/>
      <c r="I99" s="20"/>
      <c r="J99" s="8"/>
      <c r="K99" s="22"/>
    </row>
    <row r="100" spans="1:11" x14ac:dyDescent="0.25">
      <c r="A100" s="11"/>
      <c r="B100" s="7"/>
      <c r="C100" s="14"/>
      <c r="D100" s="18" t="str">
        <f>IF(NOT(ISBLANK($A100)),SUM(B$3:B100)-SUM(C$3:C100),"")</f>
        <v/>
      </c>
      <c r="E100" s="7"/>
      <c r="F100" s="14"/>
      <c r="G100" s="18" t="str">
        <f>IF(NOT(ISBLANK($A100)),SUM(E$3:E100)-SUM(F$3:F100),"")</f>
        <v/>
      </c>
      <c r="H100" s="8"/>
      <c r="I100" s="20"/>
      <c r="J100" s="8"/>
      <c r="K100" s="22"/>
    </row>
    <row r="101" spans="1:11" x14ac:dyDescent="0.25">
      <c r="A101" s="11"/>
      <c r="B101" s="7"/>
      <c r="C101" s="14"/>
      <c r="D101" s="18" t="str">
        <f>IF(NOT(ISBLANK($A101)),SUM(B$3:B101)-SUM(C$3:C101),"")</f>
        <v/>
      </c>
      <c r="E101" s="7"/>
      <c r="F101" s="14"/>
      <c r="G101" s="18" t="str">
        <f>IF(NOT(ISBLANK($A101)),SUM(E$3:E101)-SUM(F$3:F101),"")</f>
        <v/>
      </c>
      <c r="H101" s="8"/>
      <c r="I101" s="20"/>
      <c r="J101" s="8"/>
      <c r="K101" s="22"/>
    </row>
    <row r="102" spans="1:11" x14ac:dyDescent="0.25">
      <c r="A102" s="12"/>
      <c r="B102" s="9"/>
      <c r="C102" s="15"/>
      <c r="D102" s="19" t="str">
        <f>IF(NOT(ISBLANK($A102)),SUM(B$3:B102)-SUM(C$3:C102),"")</f>
        <v/>
      </c>
      <c r="E102" s="9"/>
      <c r="F102" s="15"/>
      <c r="G102" s="19" t="str">
        <f>IF(NOT(ISBLANK($A102)),SUM(E$3:E102)-SUM(F$3:F102),"")</f>
        <v/>
      </c>
      <c r="H102" s="10"/>
      <c r="I102" s="21"/>
      <c r="J102" s="10"/>
      <c r="K102" s="23"/>
    </row>
    <row r="103" spans="1:11" x14ac:dyDescent="0.25">
      <c r="A103" s="12"/>
      <c r="B103" s="9"/>
      <c r="C103" s="15"/>
      <c r="D103" s="19"/>
      <c r="E103" s="9"/>
      <c r="F103" s="15"/>
      <c r="G103" s="19"/>
      <c r="H103" s="10"/>
      <c r="I103" s="21"/>
      <c r="J103" s="10"/>
      <c r="K103" s="23"/>
    </row>
    <row r="104" spans="1:11" x14ac:dyDescent="0.25">
      <c r="A104" s="12"/>
      <c r="B104" s="9"/>
      <c r="C104" s="15"/>
      <c r="D104" s="19"/>
      <c r="E104" s="9"/>
      <c r="F104" s="15"/>
      <c r="G104" s="19"/>
      <c r="H104" s="10"/>
      <c r="I104" s="21"/>
      <c r="J104" s="10"/>
      <c r="K104" s="23"/>
    </row>
    <row r="105" spans="1:11" x14ac:dyDescent="0.25">
      <c r="B105" s="1"/>
      <c r="C105" s="16"/>
      <c r="D105" s="2"/>
      <c r="E105" s="1"/>
      <c r="F105" s="16"/>
      <c r="G105" s="2"/>
    </row>
    <row r="106" spans="1:11" x14ac:dyDescent="0.25">
      <c r="B106" s="1"/>
      <c r="C106" s="16"/>
      <c r="D106" s="2"/>
      <c r="E106" s="1"/>
      <c r="F106" s="16"/>
      <c r="G106" s="2"/>
    </row>
    <row r="107" spans="1:11" x14ac:dyDescent="0.25">
      <c r="B107" s="1"/>
      <c r="C107" s="16"/>
      <c r="D107" s="2"/>
      <c r="E107" s="1"/>
      <c r="F107" s="16"/>
      <c r="G107" s="2"/>
    </row>
    <row r="108" spans="1:11" x14ac:dyDescent="0.25">
      <c r="B108" s="1"/>
      <c r="C108" s="16"/>
      <c r="D108" s="2"/>
      <c r="E108" s="1"/>
      <c r="F108" s="16"/>
      <c r="G108" s="2"/>
    </row>
    <row r="109" spans="1:11" x14ac:dyDescent="0.25">
      <c r="B109" s="1"/>
      <c r="C109" s="16"/>
      <c r="D109" s="2"/>
      <c r="E109" s="1"/>
      <c r="F109" s="16"/>
      <c r="G109" s="2"/>
    </row>
    <row r="110" spans="1:11" x14ac:dyDescent="0.25">
      <c r="B110" s="1"/>
      <c r="C110" s="16"/>
      <c r="D110" s="2"/>
      <c r="E110" s="1"/>
      <c r="F110" s="16"/>
      <c r="G110" s="2"/>
    </row>
    <row r="111" spans="1:11" x14ac:dyDescent="0.25">
      <c r="B111" s="1"/>
      <c r="C111" s="16"/>
      <c r="D111" s="2"/>
      <c r="E111" s="1"/>
      <c r="F111" s="16"/>
      <c r="G111" s="2"/>
    </row>
    <row r="112" spans="1:11" x14ac:dyDescent="0.25">
      <c r="B112" s="1"/>
      <c r="C112" s="16"/>
      <c r="D112" s="2"/>
      <c r="E112" s="1"/>
      <c r="F112" s="16"/>
      <c r="G112" s="2"/>
    </row>
    <row r="113" spans="2:7" x14ac:dyDescent="0.25">
      <c r="B113" s="1"/>
      <c r="C113" s="16"/>
      <c r="D113" s="2"/>
      <c r="E113" s="1"/>
      <c r="F113" s="16"/>
      <c r="G113" s="2"/>
    </row>
    <row r="114" spans="2:7" x14ac:dyDescent="0.25">
      <c r="B114" s="1"/>
      <c r="C114" s="16"/>
      <c r="D114" s="2"/>
      <c r="E114" s="1"/>
      <c r="F114" s="16"/>
      <c r="G114" s="2"/>
    </row>
    <row r="115" spans="2:7" x14ac:dyDescent="0.25">
      <c r="B115" s="1"/>
      <c r="C115" s="16"/>
      <c r="D115" s="2"/>
      <c r="E115" s="1"/>
      <c r="F115" s="16"/>
      <c r="G115" s="2"/>
    </row>
    <row r="116" spans="2:7" x14ac:dyDescent="0.25">
      <c r="B116" s="1"/>
      <c r="C116" s="16"/>
      <c r="D116" s="2"/>
      <c r="E116" s="1"/>
      <c r="F116" s="16"/>
      <c r="G116" s="2"/>
    </row>
    <row r="117" spans="2:7" x14ac:dyDescent="0.25">
      <c r="B117" s="1"/>
      <c r="C117" s="16"/>
      <c r="D117" s="2"/>
      <c r="E117" s="1"/>
      <c r="F117" s="16"/>
      <c r="G117" s="2"/>
    </row>
    <row r="118" spans="2:7" x14ac:dyDescent="0.25">
      <c r="B118" s="1"/>
      <c r="C118" s="16"/>
      <c r="D118" s="2"/>
      <c r="E118" s="1"/>
      <c r="F118" s="16"/>
      <c r="G118" s="2"/>
    </row>
    <row r="119" spans="2:7" x14ac:dyDescent="0.25">
      <c r="B119" s="1"/>
      <c r="C119" s="16"/>
      <c r="D119" s="2"/>
      <c r="E119" s="1"/>
      <c r="F119" s="16"/>
      <c r="G119" s="2"/>
    </row>
    <row r="120" spans="2:7" x14ac:dyDescent="0.25">
      <c r="B120" s="1"/>
      <c r="C120" s="16"/>
      <c r="D120" s="2"/>
      <c r="E120" s="1"/>
      <c r="F120" s="16"/>
      <c r="G120" s="2"/>
    </row>
    <row r="121" spans="2:7" x14ac:dyDescent="0.25">
      <c r="B121" s="1"/>
      <c r="C121" s="16"/>
      <c r="D121" s="2"/>
      <c r="E121" s="1"/>
      <c r="F121" s="16"/>
      <c r="G121" s="2"/>
    </row>
    <row r="122" spans="2:7" x14ac:dyDescent="0.25">
      <c r="B122" s="1"/>
      <c r="C122" s="16"/>
      <c r="D122" s="2"/>
      <c r="E122" s="1"/>
      <c r="F122" s="16"/>
      <c r="G122" s="2"/>
    </row>
    <row r="123" spans="2:7" x14ac:dyDescent="0.25">
      <c r="B123" s="1"/>
      <c r="C123" s="16"/>
      <c r="D123" s="2"/>
      <c r="E123" s="1"/>
      <c r="F123" s="16"/>
      <c r="G123" s="2"/>
    </row>
    <row r="124" spans="2:7" x14ac:dyDescent="0.25">
      <c r="B124" s="1"/>
      <c r="C124" s="16"/>
      <c r="D124" s="2"/>
      <c r="E124" s="1"/>
      <c r="F124" s="16"/>
      <c r="G124" s="2"/>
    </row>
    <row r="125" spans="2:7" x14ac:dyDescent="0.25">
      <c r="B125" s="1"/>
      <c r="C125" s="16"/>
      <c r="D125" s="2"/>
      <c r="E125" s="1"/>
      <c r="F125" s="16"/>
      <c r="G125" s="2"/>
    </row>
    <row r="126" spans="2:7" x14ac:dyDescent="0.25">
      <c r="B126" s="1"/>
      <c r="C126" s="16"/>
      <c r="D126" s="2"/>
      <c r="E126" s="1"/>
      <c r="F126" s="16"/>
      <c r="G126" s="2"/>
    </row>
    <row r="127" spans="2:7" x14ac:dyDescent="0.25">
      <c r="B127" s="1"/>
      <c r="C127" s="16"/>
      <c r="D127" s="2"/>
      <c r="E127" s="1"/>
      <c r="F127" s="16"/>
      <c r="G127" s="2"/>
    </row>
    <row r="128" spans="2:7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  <row r="227" spans="2:7" x14ac:dyDescent="0.25">
      <c r="B227" s="1"/>
      <c r="C227" s="16"/>
      <c r="D227" s="2"/>
      <c r="E227" s="1"/>
      <c r="F227" s="16"/>
      <c r="G227" s="2"/>
    </row>
  </sheetData>
  <sortState ref="A69:O81">
    <sortCondition ref="A69:A81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K14" sqref="K14"/>
    </sheetView>
  </sheetViews>
  <sheetFormatPr defaultRowHeight="15" x14ac:dyDescent="0.25"/>
  <cols>
    <col min="1" max="1" width="30.42578125" bestFit="1" customWidth="1"/>
    <col min="2" max="3" width="10.5703125" bestFit="1" customWidth="1"/>
    <col min="5" max="6" width="10.5703125" bestFit="1" customWidth="1"/>
    <col min="8" max="9" width="10.5703125" bestFit="1" customWidth="1"/>
  </cols>
  <sheetData>
    <row r="1" spans="1:12" x14ac:dyDescent="0.25">
      <c r="A1" s="35" t="s">
        <v>0</v>
      </c>
      <c r="B1" s="37" t="s">
        <v>1</v>
      </c>
      <c r="C1" s="38"/>
      <c r="D1" s="39"/>
      <c r="E1" s="37" t="s">
        <v>48</v>
      </c>
      <c r="F1" s="38"/>
      <c r="G1" s="39"/>
      <c r="H1" s="37" t="s">
        <v>47</v>
      </c>
      <c r="I1" s="38"/>
      <c r="J1" s="39"/>
      <c r="K1" s="35" t="s">
        <v>20</v>
      </c>
      <c r="L1" s="35" t="s">
        <v>3</v>
      </c>
    </row>
    <row r="2" spans="1:12" x14ac:dyDescent="0.25">
      <c r="A2" s="36"/>
      <c r="B2" s="5" t="s">
        <v>4</v>
      </c>
      <c r="C2" s="13" t="s">
        <v>5</v>
      </c>
      <c r="D2" s="6" t="s">
        <v>37</v>
      </c>
      <c r="E2" s="5" t="s">
        <v>4</v>
      </c>
      <c r="F2" s="13" t="s">
        <v>5</v>
      </c>
      <c r="G2" s="6" t="s">
        <v>37</v>
      </c>
      <c r="H2" s="5" t="s">
        <v>4</v>
      </c>
      <c r="I2" s="13" t="s">
        <v>5</v>
      </c>
      <c r="J2" s="6" t="s">
        <v>37</v>
      </c>
      <c r="K2" s="36"/>
      <c r="L2" s="36"/>
    </row>
    <row r="3" spans="1:12" x14ac:dyDescent="0.25">
      <c r="A3" s="11">
        <v>42979</v>
      </c>
      <c r="B3" s="7"/>
      <c r="C3" s="14"/>
      <c r="D3" s="18">
        <f>IF(NOT(ISBLANK($A3)),SUM(B$3:B3)-SUM(C$3:C3),"")</f>
        <v>0</v>
      </c>
      <c r="E3" s="7"/>
      <c r="F3" s="14"/>
      <c r="G3" s="18">
        <f>IF(NOT(ISBLANK($A3)),SUM(E$3:E3)-SUM(F$3:F3),"")</f>
        <v>0</v>
      </c>
      <c r="H3" s="7"/>
      <c r="I3" s="14">
        <v>2862.19</v>
      </c>
      <c r="J3" s="18">
        <f>IF(NOT(ISBLANK($A3)),SUM(H$3:H3)-SUM(I$3:I3),"")</f>
        <v>-2862.19</v>
      </c>
      <c r="K3" s="8" t="s">
        <v>50</v>
      </c>
      <c r="L3" s="22" t="s">
        <v>6</v>
      </c>
    </row>
    <row r="4" spans="1:12" x14ac:dyDescent="0.25">
      <c r="A4" s="11">
        <v>42979</v>
      </c>
      <c r="B4" s="7"/>
      <c r="C4" s="14"/>
      <c r="D4" s="18">
        <f>IF(NOT(ISBLANK($A4)),SUM(B$3:B4)-SUM(C$3:C4),"")</f>
        <v>0</v>
      </c>
      <c r="E4" s="7"/>
      <c r="F4" s="14">
        <v>103.96</v>
      </c>
      <c r="G4" s="18">
        <f>IF(NOT(ISBLANK($A4)),SUM(E$3:E4)-SUM(F$3:F4),"")</f>
        <v>-103.96</v>
      </c>
      <c r="H4" s="7"/>
      <c r="I4" s="14"/>
      <c r="J4" s="18">
        <f>IF(NOT(ISBLANK($A4)),SUM(H$3:H4)-SUM(I$3:I4),"")</f>
        <v>-2862.19</v>
      </c>
      <c r="K4" s="8" t="s">
        <v>54</v>
      </c>
      <c r="L4" s="22" t="s">
        <v>49</v>
      </c>
    </row>
    <row r="5" spans="1:12" x14ac:dyDescent="0.25">
      <c r="A5" s="11">
        <v>42980</v>
      </c>
      <c r="B5" s="7">
        <v>3000</v>
      </c>
      <c r="C5" s="14"/>
      <c r="D5" s="18">
        <f>IF(NOT(ISBLANK($A5)),SUM(B$3:B5)-SUM(C$3:C5),"")</f>
        <v>3000</v>
      </c>
      <c r="E5" s="7"/>
      <c r="F5" s="14"/>
      <c r="G5" s="18">
        <f>IF(NOT(ISBLANK($A5)),SUM(E$3:E5)-SUM(F$3:F5),"")</f>
        <v>-103.96</v>
      </c>
      <c r="H5" s="7"/>
      <c r="I5" s="14"/>
      <c r="J5" s="18">
        <f>IF(NOT(ISBLANK($A5)),SUM(H$3:H5)-SUM(I$3:I5),"")</f>
        <v>-2862.19</v>
      </c>
      <c r="K5" s="8" t="s">
        <v>10</v>
      </c>
      <c r="L5" s="22"/>
    </row>
    <row r="6" spans="1:12" x14ac:dyDescent="0.25">
      <c r="A6" s="11">
        <v>42980</v>
      </c>
      <c r="B6" s="7"/>
      <c r="C6" s="14">
        <v>103.96</v>
      </c>
      <c r="D6" s="18">
        <f>IF(NOT(ISBLANK($A6)),SUM(B$3:B6)-SUM(C$3:C6),"")</f>
        <v>2896.04</v>
      </c>
      <c r="E6" s="7">
        <v>103.96</v>
      </c>
      <c r="F6" s="14"/>
      <c r="G6" s="18">
        <f>IF(NOT(ISBLANK($A6)),SUM(E$3:E6)-SUM(F$3:F6),"")</f>
        <v>0</v>
      </c>
      <c r="H6" s="7"/>
      <c r="I6" s="14"/>
      <c r="J6" s="18">
        <f>IF(NOT(ISBLANK($A6)),SUM(H$3:H6)-SUM(I$3:I6),"")</f>
        <v>-2862.19</v>
      </c>
      <c r="K6" s="8" t="s">
        <v>19</v>
      </c>
      <c r="L6" s="22"/>
    </row>
    <row r="7" spans="1:12" x14ac:dyDescent="0.25">
      <c r="A7" s="11">
        <v>42983</v>
      </c>
      <c r="B7" s="7"/>
      <c r="C7" s="14">
        <v>2862.19</v>
      </c>
      <c r="D7" s="18">
        <f>IF(NOT(ISBLANK($A7)),SUM(B$3:B7)-SUM(C$3:C7),"")</f>
        <v>33.849999999999909</v>
      </c>
      <c r="E7" s="7"/>
      <c r="F7" s="14"/>
      <c r="G7" s="18">
        <f>IF(NOT(ISBLANK($A7)),SUM(E$3:E7)-SUM(F$3:F7),"")</f>
        <v>0</v>
      </c>
      <c r="H7" s="7">
        <v>2862.19</v>
      </c>
      <c r="I7" s="14"/>
      <c r="J7" s="18">
        <f>IF(NOT(ISBLANK($A7)),SUM(H$3:H7)-SUM(I$3:I7),"")</f>
        <v>0</v>
      </c>
      <c r="K7" s="8" t="s">
        <v>15</v>
      </c>
      <c r="L7" s="22"/>
    </row>
    <row r="8" spans="1:12" x14ac:dyDescent="0.25">
      <c r="A8" s="11">
        <v>42984</v>
      </c>
      <c r="B8" s="7"/>
      <c r="C8" s="14"/>
      <c r="D8" s="18">
        <f>IF(NOT(ISBLANK($A8)),SUM(B$3:B8)-SUM(C$3:C8),"")</f>
        <v>33.849999999999909</v>
      </c>
      <c r="E8" s="7"/>
      <c r="F8" s="14">
        <v>36.159999999999997</v>
      </c>
      <c r="G8" s="18">
        <f>IF(NOT(ISBLANK($A8)),SUM(E$3:E8)-SUM(F$3:F8),"")</f>
        <v>-36.160000000000011</v>
      </c>
      <c r="H8" s="7"/>
      <c r="I8" s="14"/>
      <c r="J8" s="18">
        <f>IF(NOT(ISBLANK($A8)),SUM(H$3:H8)-SUM(I$3:I8),"")</f>
        <v>0</v>
      </c>
      <c r="K8" s="8" t="s">
        <v>54</v>
      </c>
      <c r="L8" s="22" t="s">
        <v>51</v>
      </c>
    </row>
    <row r="9" spans="1:12" x14ac:dyDescent="0.25">
      <c r="A9" s="11">
        <v>42986</v>
      </c>
      <c r="B9" s="7"/>
      <c r="C9" s="14"/>
      <c r="D9" s="18">
        <f>IF(NOT(ISBLANK($A9)),SUM(B$3:B9)-SUM(C$3:C9),"")</f>
        <v>33.849999999999909</v>
      </c>
      <c r="E9" s="7"/>
      <c r="F9" s="14">
        <v>20</v>
      </c>
      <c r="G9" s="18">
        <f>IF(NOT(ISBLANK($A9)),SUM(E$3:E9)-SUM(F$3:F9),"")</f>
        <v>-56.160000000000011</v>
      </c>
      <c r="H9" s="7"/>
      <c r="I9" s="14"/>
      <c r="J9" s="18">
        <f>IF(NOT(ISBLANK($A9)),SUM(H$3:H9)-SUM(I$3:I9),"")</f>
        <v>0</v>
      </c>
      <c r="K9" s="8" t="s">
        <v>52</v>
      </c>
      <c r="L9" s="22" t="s">
        <v>53</v>
      </c>
    </row>
    <row r="10" spans="1:12" x14ac:dyDescent="0.25">
      <c r="A10" s="11">
        <v>42989</v>
      </c>
      <c r="B10" s="7"/>
      <c r="C10" s="14">
        <v>20</v>
      </c>
      <c r="D10" s="18">
        <f>IF(NOT(ISBLANK($A10)),SUM(B$3:B10)-SUM(C$3:C10),"")</f>
        <v>13.849999999999909</v>
      </c>
      <c r="E10" s="7">
        <v>20</v>
      </c>
      <c r="F10" s="14"/>
      <c r="G10" s="18">
        <f>IF(NOT(ISBLANK($A10)),SUM(E$3:E10)-SUM(F$3:F10),"")</f>
        <v>-36.160000000000011</v>
      </c>
      <c r="H10" s="7"/>
      <c r="I10" s="14"/>
      <c r="J10" s="18">
        <f>IF(NOT(ISBLANK($A10)),SUM(H$3:H10)-SUM(I$3:I10),"")</f>
        <v>0</v>
      </c>
      <c r="K10" s="8" t="s">
        <v>15</v>
      </c>
      <c r="L10" s="22"/>
    </row>
    <row r="11" spans="1:12" x14ac:dyDescent="0.25">
      <c r="A11" s="11">
        <v>42995</v>
      </c>
      <c r="B11" s="7"/>
      <c r="C11" s="14">
        <v>128.26</v>
      </c>
      <c r="D11" s="18">
        <f>IF(NOT(ISBLANK($A11)),SUM(B$3:B11)-SUM(C$3:C11),"")</f>
        <v>-114.40999999999985</v>
      </c>
      <c r="E11" s="7">
        <v>128.26</v>
      </c>
      <c r="F11" s="14"/>
      <c r="G11" s="18">
        <f>IF(NOT(ISBLANK($A11)),SUM(E$3:E11)-SUM(F$3:F11),"")</f>
        <v>92.099999999999966</v>
      </c>
      <c r="H11" s="7"/>
      <c r="I11" s="14"/>
      <c r="J11" s="18">
        <f>IF(NOT(ISBLANK($A11)),SUM(H$3:H11)-SUM(I$3:I11),"")</f>
        <v>0</v>
      </c>
      <c r="K11" s="8" t="s">
        <v>15</v>
      </c>
      <c r="L11" s="22"/>
    </row>
    <row r="12" spans="1:12" x14ac:dyDescent="0.25">
      <c r="A12" s="11">
        <v>42996</v>
      </c>
      <c r="B12" s="7"/>
      <c r="C12" s="14"/>
      <c r="D12" s="18">
        <f>IF(NOT(ISBLANK($A12)),SUM(B$3:B12)-SUM(C$3:C12),"")</f>
        <v>-114.40999999999985</v>
      </c>
      <c r="E12" s="7"/>
      <c r="F12" s="14">
        <v>92.1</v>
      </c>
      <c r="G12" s="18">
        <f>IF(NOT(ISBLANK($A12)),SUM(E$3:E12)-SUM(F$3:F12),"")</f>
        <v>-2.8421709430404007E-14</v>
      </c>
      <c r="H12" s="7"/>
      <c r="I12" s="14"/>
      <c r="J12" s="18">
        <f>IF(NOT(ISBLANK($A12)),SUM(H$3:H12)-SUM(I$3:I12),"")</f>
        <v>0</v>
      </c>
      <c r="K12" s="8" t="s">
        <v>54</v>
      </c>
      <c r="L12" s="22" t="s">
        <v>55</v>
      </c>
    </row>
    <row r="13" spans="1:12" x14ac:dyDescent="0.25">
      <c r="A13" s="11">
        <v>42996</v>
      </c>
      <c r="B13" s="7">
        <v>950</v>
      </c>
      <c r="C13" s="14"/>
      <c r="D13" s="18">
        <f>IF(NOT(ISBLANK($A13)),SUM(B$3:B13)-SUM(C$3:C13),"")</f>
        <v>835.59000000000015</v>
      </c>
      <c r="E13" s="7"/>
      <c r="F13" s="14"/>
      <c r="G13" s="18">
        <f>IF(NOT(ISBLANK($A13)),SUM(E$3:E13)-SUM(F$3:F13),"")</f>
        <v>-2.8421709430404007E-14</v>
      </c>
      <c r="H13" s="7"/>
      <c r="I13" s="14"/>
      <c r="J13" s="18">
        <f>IF(NOT(ISBLANK($A13)),SUM(H$3:H13)-SUM(I$3:I13),"")</f>
        <v>0</v>
      </c>
      <c r="K13" s="8" t="s">
        <v>10</v>
      </c>
      <c r="L13" s="22"/>
    </row>
    <row r="14" spans="1:12" x14ac:dyDescent="0.25">
      <c r="A14" s="11"/>
      <c r="B14" s="7"/>
      <c r="C14" s="14"/>
      <c r="D14" s="18" t="str">
        <f>IF(NOT(ISBLANK($A14)),SUM(B$3:B14)-SUM(C$3:C14),"")</f>
        <v/>
      </c>
      <c r="E14" s="7"/>
      <c r="F14" s="14"/>
      <c r="G14" s="18" t="str">
        <f>IF(NOT(ISBLANK($A14)),SUM(E$3:E14)-SUM(F$3:F14),"")</f>
        <v/>
      </c>
      <c r="H14" s="7"/>
      <c r="I14" s="14"/>
      <c r="J14" s="18" t="str">
        <f>IF(NOT(ISBLANK($A14)),SUM(H$3:H14)-SUM(I$3:I14),"")</f>
        <v/>
      </c>
      <c r="K14" s="8"/>
      <c r="L14" s="22"/>
    </row>
    <row r="15" spans="1:12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7"/>
      <c r="I15" s="14"/>
      <c r="J15" s="18" t="str">
        <f>IF(NOT(ISBLANK($A15)),SUM(H$3:H15)-SUM(I$3:I15),"")</f>
        <v/>
      </c>
      <c r="K15" s="8"/>
      <c r="L15" s="22"/>
    </row>
    <row r="16" spans="1:12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7"/>
      <c r="I16" s="14"/>
      <c r="J16" s="18" t="str">
        <f>IF(NOT(ISBLANK($A16)),SUM(H$3:H16)-SUM(I$3:I16),"")</f>
        <v/>
      </c>
      <c r="K16" s="8"/>
      <c r="L16" s="22"/>
    </row>
    <row r="17" spans="1:12" x14ac:dyDescent="0.25">
      <c r="A17" s="11"/>
      <c r="B17" s="7"/>
      <c r="C17" s="14"/>
      <c r="D17" s="18" t="str">
        <f>IF(NOT(ISBLANK($A17)),SUM(B$3:B17)-SUM(C$3:C17),"")</f>
        <v/>
      </c>
      <c r="E17" s="7"/>
      <c r="F17" s="14"/>
      <c r="G17" s="18" t="str">
        <f>IF(NOT(ISBLANK($A17)),SUM(E$3:E17)-SUM(F$3:F17),"")</f>
        <v/>
      </c>
      <c r="H17" s="7"/>
      <c r="I17" s="14"/>
      <c r="J17" s="18" t="str">
        <f>IF(NOT(ISBLANK($A17)),SUM(H$3:H17)-SUM(I$3:I17),"")</f>
        <v/>
      </c>
      <c r="K17" s="8"/>
      <c r="L17" s="22"/>
    </row>
  </sheetData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51"/>
  <sheetViews>
    <sheetView topLeftCell="A13" zoomScaleNormal="100" workbookViewId="0">
      <selection activeCell="G32" sqref="G32"/>
    </sheetView>
  </sheetViews>
  <sheetFormatPr defaultRowHeight="15" x14ac:dyDescent="0.25"/>
  <cols>
    <col min="1" max="1" width="17.5703125" style="40" bestFit="1" customWidth="1"/>
    <col min="2" max="2" width="39.7109375" style="40" bestFit="1" customWidth="1"/>
    <col min="3" max="4" width="9.140625" style="40"/>
    <col min="5" max="5" width="12.140625" style="40" customWidth="1"/>
    <col min="6" max="6" width="9" style="40" bestFit="1" customWidth="1"/>
    <col min="7" max="7" width="50" style="40" customWidth="1"/>
    <col min="8" max="8" width="13.5703125" style="40" customWidth="1"/>
    <col min="9" max="11" width="10.7109375" style="40" customWidth="1"/>
    <col min="12" max="16384" width="9.140625" style="40"/>
  </cols>
  <sheetData>
    <row r="1" spans="1:12" ht="21" x14ac:dyDescent="0.35">
      <c r="A1" s="48" t="s">
        <v>77</v>
      </c>
      <c r="B1" s="97"/>
      <c r="D1" s="48" t="s">
        <v>111</v>
      </c>
      <c r="E1" s="47"/>
      <c r="F1" s="47"/>
      <c r="G1" s="47"/>
      <c r="H1" s="47"/>
      <c r="I1" s="47"/>
      <c r="J1" s="47"/>
      <c r="K1" s="97"/>
    </row>
    <row r="2" spans="1:12" ht="15" customHeight="1" x14ac:dyDescent="0.35">
      <c r="A2" s="96">
        <v>2500</v>
      </c>
      <c r="B2" s="50" t="s">
        <v>110</v>
      </c>
      <c r="D2" s="74"/>
      <c r="E2" s="73" t="s">
        <v>109</v>
      </c>
      <c r="F2" s="73"/>
      <c r="G2" s="73"/>
      <c r="H2" s="73"/>
      <c r="I2" s="73"/>
      <c r="J2" s="72">
        <v>43160</v>
      </c>
      <c r="K2" s="71">
        <v>43163</v>
      </c>
    </row>
    <row r="3" spans="1:12" ht="15" customHeight="1" x14ac:dyDescent="0.35">
      <c r="A3" s="96">
        <v>830</v>
      </c>
      <c r="B3" s="50" t="s">
        <v>112</v>
      </c>
      <c r="D3" s="70"/>
      <c r="E3" s="69" t="s">
        <v>100</v>
      </c>
      <c r="F3" s="68" t="s">
        <v>99</v>
      </c>
      <c r="G3" s="68"/>
      <c r="H3" s="66" t="s">
        <v>67</v>
      </c>
      <c r="I3" s="67">
        <f>J2-1</f>
        <v>43159</v>
      </c>
      <c r="J3" s="66" t="s">
        <v>66</v>
      </c>
      <c r="K3" s="65">
        <f>K2+1</f>
        <v>43164</v>
      </c>
    </row>
    <row r="4" spans="1:12" ht="15" customHeight="1" x14ac:dyDescent="0.35">
      <c r="A4" s="96">
        <v>750</v>
      </c>
      <c r="B4" s="50" t="s">
        <v>113</v>
      </c>
      <c r="D4" s="64"/>
      <c r="E4" s="63"/>
      <c r="F4" s="62" t="s">
        <v>98</v>
      </c>
      <c r="G4" s="62"/>
      <c r="H4" s="60"/>
      <c r="I4" s="61"/>
      <c r="J4" s="60"/>
      <c r="K4" s="59"/>
    </row>
    <row r="5" spans="1:12" ht="15" customHeight="1" x14ac:dyDescent="0.35">
      <c r="A5" s="96">
        <v>4782.16</v>
      </c>
      <c r="B5" s="50" t="s">
        <v>108</v>
      </c>
      <c r="D5" s="74"/>
      <c r="E5" s="73" t="s">
        <v>105</v>
      </c>
      <c r="F5" s="73"/>
      <c r="G5" s="73"/>
      <c r="H5" s="73"/>
      <c r="I5" s="73"/>
      <c r="J5" s="72">
        <v>43267</v>
      </c>
      <c r="K5" s="71">
        <v>43268</v>
      </c>
    </row>
    <row r="6" spans="1:12" ht="15" customHeight="1" x14ac:dyDescent="0.35">
      <c r="A6" s="96">
        <v>4210.3999999999996</v>
      </c>
      <c r="B6" s="50" t="s">
        <v>107</v>
      </c>
      <c r="D6" s="70"/>
      <c r="E6" s="69" t="s">
        <v>100</v>
      </c>
      <c r="F6" s="68" t="s">
        <v>104</v>
      </c>
      <c r="G6" s="68"/>
      <c r="H6" s="105"/>
      <c r="I6" s="67">
        <f>J5-IF(L6,1,0)</f>
        <v>43266</v>
      </c>
      <c r="J6" s="66" t="s">
        <v>66</v>
      </c>
      <c r="K6" s="65">
        <f>K5</f>
        <v>43268</v>
      </c>
      <c r="L6" s="107" t="b">
        <v>1</v>
      </c>
    </row>
    <row r="7" spans="1:12" ht="15" customHeight="1" x14ac:dyDescent="0.35">
      <c r="A7" s="78">
        <v>2500</v>
      </c>
      <c r="B7" s="50" t="s">
        <v>106</v>
      </c>
      <c r="D7" s="64"/>
      <c r="E7" s="63"/>
      <c r="F7" s="62" t="s">
        <v>102</v>
      </c>
      <c r="G7" s="62"/>
      <c r="H7" s="106"/>
      <c r="I7" s="61"/>
      <c r="J7" s="60"/>
      <c r="K7" s="59"/>
    </row>
    <row r="8" spans="1:12" ht="15" customHeight="1" x14ac:dyDescent="0.35">
      <c r="A8" s="86">
        <f>2*F48</f>
        <v>3800</v>
      </c>
      <c r="B8" s="50" t="s">
        <v>58</v>
      </c>
      <c r="D8" s="74"/>
      <c r="E8" s="73" t="s">
        <v>101</v>
      </c>
      <c r="F8" s="73"/>
      <c r="G8" s="73"/>
      <c r="H8" s="73"/>
      <c r="I8" s="73"/>
      <c r="J8" s="72">
        <v>43279</v>
      </c>
      <c r="K8" s="71">
        <v>43282</v>
      </c>
    </row>
    <row r="9" spans="1:12" ht="15" customHeight="1" x14ac:dyDescent="0.35">
      <c r="A9" s="86">
        <f>F18+F20</f>
        <v>1722</v>
      </c>
      <c r="B9" s="50" t="s">
        <v>103</v>
      </c>
      <c r="D9" s="70"/>
      <c r="E9" s="69" t="s">
        <v>100</v>
      </c>
      <c r="F9" s="68" t="s">
        <v>99</v>
      </c>
      <c r="G9" s="68"/>
      <c r="H9" s="66" t="s">
        <v>67</v>
      </c>
      <c r="I9" s="67">
        <f>J8-1</f>
        <v>43278</v>
      </c>
      <c r="J9" s="66" t="s">
        <v>66</v>
      </c>
      <c r="K9" s="65">
        <f>K8+1</f>
        <v>43283</v>
      </c>
    </row>
    <row r="10" spans="1:12" ht="15" customHeight="1" x14ac:dyDescent="0.35">
      <c r="A10" s="86">
        <f>F42*(F43+F41*F44)+F45+F41*F46</f>
        <v>2800</v>
      </c>
      <c r="B10" s="50" t="str">
        <f>"Nationals Winnipeg, "&amp;$F$41&amp;" days"</f>
        <v>Nationals Winnipeg, 8 days</v>
      </c>
      <c r="D10" s="64"/>
      <c r="E10" s="63"/>
      <c r="F10" s="62" t="s">
        <v>98</v>
      </c>
      <c r="G10" s="62"/>
      <c r="H10" s="60"/>
      <c r="I10" s="61"/>
      <c r="J10" s="60"/>
      <c r="K10" s="59"/>
    </row>
    <row r="11" spans="1:12" ht="15" customHeight="1" x14ac:dyDescent="0.25">
      <c r="A11" s="86">
        <f>IF(G23,2*F33+F26*F27*F34+F35+F36,0)</f>
        <v>0</v>
      </c>
      <c r="B11" s="50" t="str">
        <f>"Easterns Windsor, "&amp;$F$26&amp;" days (Flying)"</f>
        <v>Easterns Windsor, 6 days (Flying)</v>
      </c>
      <c r="D11" s="53"/>
      <c r="E11" s="51"/>
      <c r="F11" s="79"/>
      <c r="G11" s="51"/>
      <c r="K11" s="92"/>
    </row>
    <row r="12" spans="1:12" ht="21.75" thickBot="1" x14ac:dyDescent="0.4">
      <c r="A12" s="85">
        <f>SUM(A2:A11)</f>
        <v>23894.559999999998</v>
      </c>
      <c r="B12" s="84" t="s">
        <v>90</v>
      </c>
      <c r="D12" s="53"/>
      <c r="E12" s="51" t="s">
        <v>11</v>
      </c>
      <c r="F12" s="79">
        <f>1000*80/1000*1.3</f>
        <v>104</v>
      </c>
      <c r="G12" s="51" t="s">
        <v>97</v>
      </c>
      <c r="K12" s="92"/>
    </row>
    <row r="13" spans="1:12" ht="15" customHeight="1" x14ac:dyDescent="0.25">
      <c r="D13" s="53"/>
      <c r="E13" s="51" t="s">
        <v>96</v>
      </c>
      <c r="F13" s="78">
        <v>40</v>
      </c>
      <c r="G13" s="51" t="s">
        <v>95</v>
      </c>
      <c r="H13" s="95"/>
      <c r="I13" s="94"/>
      <c r="J13" s="93"/>
      <c r="K13" s="92"/>
    </row>
    <row r="14" spans="1:12" ht="15" customHeight="1" thickBot="1" x14ac:dyDescent="0.3">
      <c r="D14" s="53"/>
      <c r="E14" s="51" t="s">
        <v>94</v>
      </c>
      <c r="F14" s="78">
        <v>150</v>
      </c>
      <c r="G14" s="51" t="s">
        <v>72</v>
      </c>
      <c r="H14" s="51"/>
      <c r="I14" s="51"/>
      <c r="J14" s="51"/>
      <c r="K14" s="50"/>
    </row>
    <row r="15" spans="1:12" ht="21" x14ac:dyDescent="0.35">
      <c r="A15" s="48" t="s">
        <v>83</v>
      </c>
      <c r="B15" s="97"/>
      <c r="D15" s="53"/>
      <c r="E15" s="51" t="s">
        <v>64</v>
      </c>
      <c r="F15" s="51">
        <f>(K3-I3)+(K6-I6)+(K9-I9)</f>
        <v>12</v>
      </c>
      <c r="G15" s="91" t="s">
        <v>93</v>
      </c>
      <c r="H15" s="51"/>
      <c r="I15" s="51"/>
      <c r="J15" s="51"/>
      <c r="K15" s="50"/>
    </row>
    <row r="16" spans="1:12" ht="15" customHeight="1" x14ac:dyDescent="0.25">
      <c r="A16" s="88">
        <f>A2</f>
        <v>2500</v>
      </c>
      <c r="B16" s="50" t="str">
        <f>B2</f>
        <v>meet fees</v>
      </c>
      <c r="D16" s="53"/>
      <c r="E16" s="51" t="s">
        <v>63</v>
      </c>
      <c r="F16" s="90">
        <v>2</v>
      </c>
      <c r="G16" s="51"/>
      <c r="H16" s="51"/>
      <c r="I16" s="51"/>
      <c r="J16" s="51"/>
      <c r="K16" s="50"/>
    </row>
    <row r="17" spans="1:11" ht="15" customHeight="1" x14ac:dyDescent="0.25">
      <c r="A17" s="88">
        <f t="shared" ref="A17:B18" si="0">A3</f>
        <v>830</v>
      </c>
      <c r="B17" s="50" t="str">
        <f t="shared" si="0"/>
        <v>Belleville</v>
      </c>
      <c r="D17" s="53"/>
      <c r="E17" s="51" t="s">
        <v>92</v>
      </c>
      <c r="F17" s="51"/>
      <c r="G17" s="51"/>
      <c r="H17" s="51"/>
      <c r="I17" s="51"/>
      <c r="J17" s="51"/>
      <c r="K17" s="50"/>
    </row>
    <row r="18" spans="1:11" ht="15" customHeight="1" x14ac:dyDescent="0.25">
      <c r="A18" s="88">
        <f t="shared" si="0"/>
        <v>750</v>
      </c>
      <c r="B18" s="50" t="str">
        <f t="shared" si="0"/>
        <v>Point Claire</v>
      </c>
      <c r="D18" s="53"/>
      <c r="E18" s="89">
        <f>F15*F16</f>
        <v>24</v>
      </c>
      <c r="F18" s="87">
        <f>E18*F13</f>
        <v>960</v>
      </c>
      <c r="G18" s="51" t="str">
        <f>(K3-I3)+(K9-I9)&amp;" days of Championships, "&amp;K6-I6&amp;" days of Festival"</f>
        <v>10 days of Championships, 2 days of Festival</v>
      </c>
      <c r="H18" s="51"/>
      <c r="I18" s="51"/>
      <c r="J18" s="51"/>
      <c r="K18" s="50"/>
    </row>
    <row r="19" spans="1:11" ht="15" customHeight="1" x14ac:dyDescent="0.25">
      <c r="A19" s="88">
        <f>A5</f>
        <v>4782.16</v>
      </c>
      <c r="B19" s="50" t="str">
        <f>B5</f>
        <v>William</v>
      </c>
      <c r="D19" s="53"/>
      <c r="E19" s="51" t="s">
        <v>91</v>
      </c>
      <c r="F19" s="51"/>
      <c r="G19" s="51"/>
      <c r="H19" s="51"/>
      <c r="I19" s="51"/>
      <c r="J19" s="51"/>
      <c r="K19" s="50"/>
    </row>
    <row r="20" spans="1:11" ht="15" customHeight="1" x14ac:dyDescent="0.25">
      <c r="A20" s="88">
        <f>A6</f>
        <v>4210.3999999999996</v>
      </c>
      <c r="B20" s="50" t="str">
        <f>B6</f>
        <v>Olivier</v>
      </c>
      <c r="D20" s="53"/>
      <c r="E20" s="51">
        <v>3</v>
      </c>
      <c r="F20" s="87">
        <f>E20*(F14+F12)</f>
        <v>762</v>
      </c>
      <c r="G20" s="51"/>
      <c r="H20" s="51"/>
      <c r="I20" s="51"/>
      <c r="J20" s="51"/>
      <c r="K20" s="50"/>
    </row>
    <row r="21" spans="1:11" ht="15" customHeight="1" thickBot="1" x14ac:dyDescent="0.3">
      <c r="A21" s="88">
        <f>A7</f>
        <v>2500</v>
      </c>
      <c r="B21" s="50" t="str">
        <f>B7</f>
        <v>Olivier Skiing</v>
      </c>
      <c r="D21" s="44"/>
      <c r="E21" s="42"/>
      <c r="F21" s="42"/>
      <c r="G21" s="42"/>
      <c r="H21" s="42"/>
      <c r="I21" s="42"/>
      <c r="J21" s="42"/>
      <c r="K21" s="41"/>
    </row>
    <row r="22" spans="1:11" ht="21" x14ac:dyDescent="0.35">
      <c r="A22" s="88">
        <f>A8</f>
        <v>3800</v>
      </c>
      <c r="B22" s="50" t="str">
        <f>B8</f>
        <v>Training Camp</v>
      </c>
      <c r="D22" s="48" t="s">
        <v>89</v>
      </c>
      <c r="E22" s="47"/>
      <c r="F22" s="47"/>
      <c r="G22" s="47"/>
      <c r="H22" s="76" t="s">
        <v>88</v>
      </c>
      <c r="I22" s="76"/>
      <c r="J22" s="83">
        <v>43202</v>
      </c>
      <c r="K22" s="82">
        <v>43205</v>
      </c>
    </row>
    <row r="23" spans="1:11" ht="21" x14ac:dyDescent="0.35">
      <c r="A23" s="88">
        <f>A9</f>
        <v>1722</v>
      </c>
      <c r="B23" s="50" t="str">
        <f>B9</f>
        <v xml:space="preserve">Toronto Meets </v>
      </c>
      <c r="D23" s="104" t="str">
        <f>IF(G23,"","NOT ")&amp;"ATTENDING"</f>
        <v>NOT ATTENDING</v>
      </c>
      <c r="E23" s="100"/>
      <c r="F23" s="100"/>
      <c r="G23" s="100" t="b">
        <v>0</v>
      </c>
      <c r="H23" s="101"/>
      <c r="I23" s="101"/>
      <c r="J23" s="102"/>
      <c r="K23" s="103"/>
    </row>
    <row r="24" spans="1:11" ht="15" customHeight="1" x14ac:dyDescent="0.25">
      <c r="A24" s="88">
        <f>A10</f>
        <v>2800</v>
      </c>
      <c r="B24" s="50" t="str">
        <f>B10</f>
        <v>Nationals Winnipeg, 8 days</v>
      </c>
      <c r="D24" s="53"/>
      <c r="E24" s="81" t="s">
        <v>87</v>
      </c>
      <c r="F24" s="68" t="s">
        <v>86</v>
      </c>
      <c r="G24" s="68"/>
      <c r="H24" s="66" t="s">
        <v>67</v>
      </c>
      <c r="I24" s="67">
        <f>J22-2</f>
        <v>43200</v>
      </c>
      <c r="J24" s="66" t="s">
        <v>66</v>
      </c>
      <c r="K24" s="65">
        <f>K22+1</f>
        <v>43206</v>
      </c>
    </row>
    <row r="25" spans="1:11" ht="15" customHeight="1" thickBot="1" x14ac:dyDescent="0.3">
      <c r="A25" s="86">
        <f>IF(G23,F28+F26*F27*F30+F31+F29,0)</f>
        <v>0</v>
      </c>
      <c r="B25" s="50" t="str">
        <f>"Easterns Windsor, "&amp;$F$26&amp;" days (Driving 10 hours)"</f>
        <v>Easterns Windsor, 6 days (Driving 10 hours)</v>
      </c>
      <c r="D25" s="53"/>
      <c r="E25" s="81"/>
      <c r="F25" s="68" t="s">
        <v>85</v>
      </c>
      <c r="G25" s="68"/>
      <c r="H25" s="66"/>
      <c r="I25" s="67"/>
      <c r="J25" s="66"/>
      <c r="K25" s="65"/>
    </row>
    <row r="26" spans="1:11" ht="22.5" thickTop="1" thickBot="1" x14ac:dyDescent="0.4">
      <c r="A26" s="85">
        <f>SUM(A16:A25)</f>
        <v>23894.559999999998</v>
      </c>
      <c r="B26" s="84" t="s">
        <v>90</v>
      </c>
      <c r="D26" s="53"/>
      <c r="E26" s="51" t="s">
        <v>64</v>
      </c>
      <c r="F26" s="58">
        <f>K24-I24</f>
        <v>6</v>
      </c>
      <c r="G26" s="51"/>
      <c r="H26" s="51"/>
      <c r="I26" s="51"/>
      <c r="J26" s="51"/>
      <c r="K26" s="50"/>
    </row>
    <row r="27" spans="1:11" ht="15" customHeight="1" x14ac:dyDescent="0.35">
      <c r="A27" s="98"/>
      <c r="B27" s="99"/>
      <c r="D27" s="53"/>
      <c r="E27" s="51" t="s">
        <v>63</v>
      </c>
      <c r="F27" s="57">
        <v>2</v>
      </c>
      <c r="G27" s="51"/>
      <c r="H27" s="51"/>
      <c r="I27" s="51"/>
      <c r="J27" s="51"/>
      <c r="K27" s="50"/>
    </row>
    <row r="28" spans="1:11" ht="15" customHeight="1" x14ac:dyDescent="0.25">
      <c r="D28" s="53" t="s">
        <v>83</v>
      </c>
      <c r="E28" s="51" t="s">
        <v>11</v>
      </c>
      <c r="F28" s="79">
        <f>1800*80/1000*1.3</f>
        <v>187.20000000000002</v>
      </c>
      <c r="G28" s="51" t="s">
        <v>82</v>
      </c>
      <c r="H28" s="51"/>
      <c r="I28" s="51"/>
      <c r="J28" s="51"/>
      <c r="K28" s="50"/>
    </row>
    <row r="29" spans="1:11" ht="15" customHeight="1" x14ac:dyDescent="0.25">
      <c r="D29" s="53"/>
      <c r="E29" s="51" t="s">
        <v>80</v>
      </c>
      <c r="F29" s="79">
        <v>120</v>
      </c>
      <c r="G29" s="51"/>
      <c r="H29" s="51"/>
      <c r="I29" s="51"/>
      <c r="J29" s="51"/>
      <c r="K29" s="50"/>
    </row>
    <row r="30" spans="1:11" ht="15.75" thickBot="1" x14ac:dyDescent="0.3">
      <c r="D30" s="53"/>
      <c r="E30" s="51" t="str">
        <f>E13</f>
        <v>Food</v>
      </c>
      <c r="F30" s="78">
        <f>F13</f>
        <v>40</v>
      </c>
      <c r="G30" s="79" t="str">
        <f>G13</f>
        <v>Per Day/Per person</v>
      </c>
      <c r="H30" s="51"/>
      <c r="I30" s="51"/>
      <c r="J30" s="51"/>
      <c r="K30" s="50"/>
    </row>
    <row r="31" spans="1:11" ht="21" x14ac:dyDescent="0.35">
      <c r="A31" s="48" t="s">
        <v>84</v>
      </c>
      <c r="B31" s="97"/>
      <c r="D31" s="53"/>
      <c r="E31" s="51" t="str">
        <f>E14</f>
        <v>Grocery</v>
      </c>
      <c r="F31" s="78">
        <f>F14</f>
        <v>150</v>
      </c>
      <c r="G31" s="79" t="str">
        <f>G14</f>
        <v>Per Trip</v>
      </c>
      <c r="H31" s="51"/>
      <c r="I31" s="51"/>
      <c r="J31" s="51"/>
      <c r="K31" s="50"/>
    </row>
    <row r="32" spans="1:11" ht="15" customHeight="1" thickBot="1" x14ac:dyDescent="0.3">
      <c r="A32" s="110">
        <f>F41+IF(G23,F26,0)+F15</f>
        <v>20</v>
      </c>
      <c r="B32" s="50" t="s">
        <v>81</v>
      </c>
      <c r="D32" s="53"/>
      <c r="E32" s="51"/>
      <c r="F32" s="79"/>
      <c r="G32" s="51"/>
      <c r="H32" s="51"/>
      <c r="I32" s="51"/>
      <c r="J32" s="51"/>
      <c r="K32" s="50"/>
    </row>
    <row r="33" spans="1:11" ht="15.75" thickTop="1" x14ac:dyDescent="0.25">
      <c r="A33" s="80">
        <v>25000</v>
      </c>
      <c r="B33" s="50" t="s">
        <v>79</v>
      </c>
      <c r="D33" s="53" t="s">
        <v>77</v>
      </c>
      <c r="E33" s="51" t="s">
        <v>76</v>
      </c>
      <c r="F33" s="78">
        <v>450</v>
      </c>
      <c r="G33" s="51" t="s">
        <v>75</v>
      </c>
      <c r="H33" s="55" t="s">
        <v>74</v>
      </c>
      <c r="I33" s="56">
        <f>I24</f>
        <v>43200</v>
      </c>
      <c r="J33" s="55" t="s">
        <v>60</v>
      </c>
      <c r="K33" s="54">
        <f>K24</f>
        <v>43206</v>
      </c>
    </row>
    <row r="34" spans="1:11" ht="21.75" thickBot="1" x14ac:dyDescent="0.4">
      <c r="A34" s="109">
        <f>A33*A32</f>
        <v>500000</v>
      </c>
      <c r="B34" s="84" t="s">
        <v>78</v>
      </c>
      <c r="D34" s="53"/>
      <c r="E34" s="51" t="str">
        <f>E30</f>
        <v>Food</v>
      </c>
      <c r="F34" s="78">
        <v>70</v>
      </c>
      <c r="G34" s="51" t="str">
        <f>G30</f>
        <v>Per Day/Per person</v>
      </c>
      <c r="H34" s="51"/>
      <c r="I34" s="51"/>
      <c r="J34" s="51"/>
      <c r="K34" s="50"/>
    </row>
    <row r="35" spans="1:11" ht="15" customHeight="1" x14ac:dyDescent="0.25">
      <c r="A35" s="108">
        <v>150</v>
      </c>
      <c r="B35" s="50" t="s">
        <v>117</v>
      </c>
      <c r="D35" s="53"/>
      <c r="E35" s="51" t="str">
        <f>E31</f>
        <v>Grocery</v>
      </c>
      <c r="F35" s="78">
        <v>20</v>
      </c>
      <c r="G35" s="51" t="str">
        <f>G31</f>
        <v>Per Trip</v>
      </c>
      <c r="H35" s="51"/>
      <c r="I35" s="51"/>
      <c r="J35" s="51"/>
      <c r="K35" s="50"/>
    </row>
    <row r="36" spans="1:11" ht="21.75" thickBot="1" x14ac:dyDescent="0.4">
      <c r="A36" s="85">
        <f>A32*A35</f>
        <v>3000</v>
      </c>
      <c r="B36" s="84" t="s">
        <v>118</v>
      </c>
      <c r="D36" s="44"/>
      <c r="E36" s="42" t="s">
        <v>73</v>
      </c>
      <c r="F36" s="77">
        <v>80</v>
      </c>
      <c r="G36" s="42" t="s">
        <v>72</v>
      </c>
      <c r="H36" s="42"/>
      <c r="I36" s="42"/>
      <c r="J36" s="42"/>
      <c r="K36" s="41"/>
    </row>
    <row r="37" spans="1:11" ht="21" x14ac:dyDescent="0.35">
      <c r="D37" s="48" t="s">
        <v>71</v>
      </c>
      <c r="E37" s="47"/>
      <c r="F37" s="47"/>
      <c r="G37" s="47"/>
      <c r="I37" s="76"/>
      <c r="K37" s="75"/>
    </row>
    <row r="38" spans="1:11" ht="15" customHeight="1" x14ac:dyDescent="0.35">
      <c r="D38" s="74"/>
      <c r="E38" s="73" t="s">
        <v>70</v>
      </c>
      <c r="F38" s="73"/>
      <c r="G38" s="73"/>
      <c r="H38" s="73"/>
      <c r="I38" s="73"/>
      <c r="J38" s="72">
        <v>43306</v>
      </c>
      <c r="K38" s="71">
        <v>43311</v>
      </c>
    </row>
    <row r="39" spans="1:11" ht="15" customHeight="1" thickBot="1" x14ac:dyDescent="0.4">
      <c r="D39" s="70"/>
      <c r="E39" s="69" t="s">
        <v>69</v>
      </c>
      <c r="F39" s="68" t="s">
        <v>68</v>
      </c>
      <c r="G39" s="68"/>
      <c r="H39" s="66" t="s">
        <v>67</v>
      </c>
      <c r="I39" s="67">
        <f>J38-2</f>
        <v>43304</v>
      </c>
      <c r="J39" s="66" t="s">
        <v>66</v>
      </c>
      <c r="K39" s="65">
        <f>K38+1</f>
        <v>43312</v>
      </c>
    </row>
    <row r="40" spans="1:11" ht="21.75" thickBot="1" x14ac:dyDescent="0.4">
      <c r="A40" s="48" t="s">
        <v>119</v>
      </c>
      <c r="B40" s="97"/>
      <c r="D40" s="64"/>
      <c r="E40" s="63"/>
      <c r="F40" s="62" t="s">
        <v>65</v>
      </c>
      <c r="G40" s="62"/>
      <c r="H40" s="60"/>
      <c r="I40" s="61"/>
      <c r="J40" s="60"/>
      <c r="K40" s="59"/>
    </row>
    <row r="41" spans="1:11" ht="15" customHeight="1" thickTop="1" thickBot="1" x14ac:dyDescent="0.3">
      <c r="A41" s="111">
        <f>'Swim Budget'!A12</f>
        <v>23894.559999999998</v>
      </c>
      <c r="B41" s="112" t="s">
        <v>114</v>
      </c>
      <c r="D41" s="53"/>
      <c r="E41" s="51" t="s">
        <v>64</v>
      </c>
      <c r="F41" s="58">
        <f>K39-I39</f>
        <v>8</v>
      </c>
      <c r="G41" s="51"/>
      <c r="H41" s="51"/>
      <c r="I41" s="51"/>
      <c r="J41" s="51"/>
      <c r="K41" s="50"/>
    </row>
    <row r="42" spans="1:11" ht="15" customHeight="1" thickTop="1" x14ac:dyDescent="0.25">
      <c r="A42" s="113">
        <v>3950</v>
      </c>
      <c r="B42" s="112" t="s">
        <v>115</v>
      </c>
      <c r="D42" s="53"/>
      <c r="E42" s="51" t="s">
        <v>63</v>
      </c>
      <c r="F42" s="57">
        <v>2</v>
      </c>
      <c r="G42" s="51"/>
      <c r="H42" s="51"/>
      <c r="I42" s="51"/>
      <c r="J42" s="51"/>
      <c r="K42" s="50"/>
    </row>
    <row r="43" spans="1:11" ht="15.75" thickBot="1" x14ac:dyDescent="0.3">
      <c r="A43" s="117">
        <v>21</v>
      </c>
      <c r="B43" s="116" t="s">
        <v>116</v>
      </c>
      <c r="D43" s="53"/>
      <c r="E43" s="51" t="s">
        <v>62</v>
      </c>
      <c r="F43" s="52">
        <v>750</v>
      </c>
      <c r="G43" s="51" t="str">
        <f>G33</f>
        <v>Per Person</v>
      </c>
      <c r="H43" s="55" t="s">
        <v>61</v>
      </c>
      <c r="I43" s="56">
        <f>I39</f>
        <v>43304</v>
      </c>
      <c r="J43" s="55" t="s">
        <v>60</v>
      </c>
      <c r="K43" s="54">
        <f>K39</f>
        <v>43312</v>
      </c>
    </row>
    <row r="44" spans="1:11" ht="18.75" x14ac:dyDescent="0.3">
      <c r="A44" s="120" t="s">
        <v>120</v>
      </c>
      <c r="B44" s="121"/>
      <c r="D44" s="53"/>
      <c r="E44" s="51" t="str">
        <f>E34</f>
        <v>Food</v>
      </c>
      <c r="F44" s="52">
        <f>F34</f>
        <v>70</v>
      </c>
      <c r="G44" s="51" t="str">
        <f>G34</f>
        <v>Per Day/Per person</v>
      </c>
      <c r="H44" s="51"/>
      <c r="I44" s="51"/>
      <c r="J44" s="51"/>
      <c r="K44" s="50"/>
    </row>
    <row r="45" spans="1:11" ht="15" customHeight="1" x14ac:dyDescent="0.25">
      <c r="A45" s="114">
        <f>ROUNDUP(C45,-1)</f>
        <v>950</v>
      </c>
      <c r="B45" s="112" t="str">
        <f>"Rest of this year "&amp;TEXT(C45,"($###.00)")</f>
        <v>Rest of this year ($949.74)</v>
      </c>
      <c r="C45" s="107">
        <f>(annual_budget-already_paid)/installments_remain</f>
        <v>949.74095238095231</v>
      </c>
      <c r="D45" s="53"/>
      <c r="E45" s="51" t="str">
        <f>E35</f>
        <v>Grocery</v>
      </c>
      <c r="F45" s="52">
        <f>F35</f>
        <v>20</v>
      </c>
      <c r="G45" s="51" t="s">
        <v>59</v>
      </c>
      <c r="H45" s="51"/>
      <c r="I45" s="51"/>
      <c r="J45" s="51"/>
      <c r="K45" s="50"/>
    </row>
    <row r="46" spans="1:11" ht="15" customHeight="1" thickBot="1" x14ac:dyDescent="0.3">
      <c r="A46" s="114">
        <f t="shared" ref="A46:A47" si="1">ROUNDUP(C46,-1)</f>
        <v>890</v>
      </c>
      <c r="B46" s="112" t="str">
        <f>"Ammortize next year "&amp;TEXT(C46,"($###.00)")</f>
        <v>Ammortize next year ($889.76)</v>
      </c>
      <c r="C46" s="107">
        <f>((annual_budget-US_training_camp)*2-already_paid)/(installments_remain+24)</f>
        <v>889.75822222222212</v>
      </c>
      <c r="D46" s="44"/>
      <c r="E46" s="42" t="str">
        <f>E36</f>
        <v>Cabs</v>
      </c>
      <c r="F46" s="49">
        <v>20</v>
      </c>
      <c r="G46" s="42" t="s">
        <v>59</v>
      </c>
      <c r="H46" s="42"/>
      <c r="I46" s="42"/>
      <c r="J46" s="42"/>
      <c r="K46" s="41"/>
    </row>
    <row r="47" spans="1:11" ht="21.75" thickBot="1" x14ac:dyDescent="0.4">
      <c r="A47" s="115">
        <f t="shared" si="1"/>
        <v>840</v>
      </c>
      <c r="B47" s="116" t="str">
        <f>"Next Year Alone "&amp;TEXT(C47,"($###.00)")</f>
        <v>Next Year Alone ($837.27)</v>
      </c>
      <c r="C47" s="107">
        <f>(annual_budget-2*US_training_camp)/24</f>
        <v>837.2733333333332</v>
      </c>
      <c r="D47" s="48" t="s">
        <v>58</v>
      </c>
      <c r="E47" s="47"/>
      <c r="F47" s="47"/>
      <c r="G47" s="47"/>
      <c r="H47" s="46"/>
      <c r="I47" s="46"/>
      <c r="J47" s="46"/>
      <c r="K47" s="45"/>
    </row>
    <row r="48" spans="1:11" ht="19.5" thickBot="1" x14ac:dyDescent="0.35">
      <c r="A48" s="118" t="s">
        <v>121</v>
      </c>
      <c r="B48" s="119"/>
      <c r="D48" s="44"/>
      <c r="E48" s="42" t="s">
        <v>57</v>
      </c>
      <c r="F48" s="43">
        <v>1900</v>
      </c>
      <c r="G48" s="42"/>
      <c r="H48" s="42"/>
      <c r="I48" s="42"/>
      <c r="J48" s="42"/>
      <c r="K48" s="41"/>
    </row>
    <row r="49" spans="1:3" x14ac:dyDescent="0.25">
      <c r="A49" s="114">
        <f>ROUNDUP(C49,-1)</f>
        <v>1100</v>
      </c>
      <c r="B49" s="112" t="str">
        <f>"Rest of this year "&amp;TEXT(C49,"($###.00)")</f>
        <v>Rest of this year ($1092.60)</v>
      </c>
      <c r="C49" s="107">
        <f>(annual_budget+hotel_cost-already_paid)/installments_remain</f>
        <v>1092.5980952380951</v>
      </c>
    </row>
    <row r="50" spans="1:3" x14ac:dyDescent="0.25">
      <c r="A50" s="114">
        <f t="shared" ref="A50:A51" si="2">ROUNDUP(C50,-1)</f>
        <v>1030</v>
      </c>
      <c r="B50" s="112" t="str">
        <f>"Ammortize next year "&amp;TEXT(C50,"($###.00)")</f>
        <v>Ammortize next year ($1023.09)</v>
      </c>
      <c r="C50" s="107">
        <f>((annual_budget+hotel_cost-US_training_camp)*2-already_paid)/(installments_remain+24)</f>
        <v>1023.0915555555555</v>
      </c>
    </row>
    <row r="51" spans="1:3" ht="15.75" thickBot="1" x14ac:dyDescent="0.3">
      <c r="A51" s="115">
        <f t="shared" si="2"/>
        <v>970</v>
      </c>
      <c r="B51" s="116" t="str">
        <f>"Next Year Alone "&amp;TEXT(C51,"($###.00)")</f>
        <v>Next Year Alone ($962.27)</v>
      </c>
      <c r="C51" s="107">
        <f>(annual_budget+hotel_cost-2*US_training_camp)/24</f>
        <v>962.2733333333332</v>
      </c>
    </row>
  </sheetData>
  <sheetProtection selectLockedCells="1"/>
  <mergeCells count="48">
    <mergeCell ref="A31:B31"/>
    <mergeCell ref="A40:B40"/>
    <mergeCell ref="A44:B44"/>
    <mergeCell ref="A48:B48"/>
    <mergeCell ref="K6:K7"/>
    <mergeCell ref="F7:G7"/>
    <mergeCell ref="E38:I38"/>
    <mergeCell ref="J3:J4"/>
    <mergeCell ref="K3:K4"/>
    <mergeCell ref="J24:J25"/>
    <mergeCell ref="K24:K25"/>
    <mergeCell ref="F10:G10"/>
    <mergeCell ref="E8:I8"/>
    <mergeCell ref="E5:I5"/>
    <mergeCell ref="E6:E7"/>
    <mergeCell ref="F6:G6"/>
    <mergeCell ref="K39:K40"/>
    <mergeCell ref="F4:G4"/>
    <mergeCell ref="D1:K1"/>
    <mergeCell ref="E2:I2"/>
    <mergeCell ref="E9:E10"/>
    <mergeCell ref="F9:G9"/>
    <mergeCell ref="H9:H10"/>
    <mergeCell ref="I9:I10"/>
    <mergeCell ref="J9:J10"/>
    <mergeCell ref="K9:K10"/>
    <mergeCell ref="H3:H4"/>
    <mergeCell ref="I3:I4"/>
    <mergeCell ref="I6:I7"/>
    <mergeCell ref="H39:H40"/>
    <mergeCell ref="I39:I40"/>
    <mergeCell ref="J39:J40"/>
    <mergeCell ref="J6:J7"/>
    <mergeCell ref="F24:G24"/>
    <mergeCell ref="F39:G39"/>
    <mergeCell ref="F40:G40"/>
    <mergeCell ref="E39:E40"/>
    <mergeCell ref="H24:H25"/>
    <mergeCell ref="I24:I25"/>
    <mergeCell ref="A1:B1"/>
    <mergeCell ref="E24:E25"/>
    <mergeCell ref="E3:E4"/>
    <mergeCell ref="F3:G3"/>
    <mergeCell ref="D47:G47"/>
    <mergeCell ref="D22:G22"/>
    <mergeCell ref="D37:G37"/>
    <mergeCell ref="A15:B15"/>
    <mergeCell ref="F25:G25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zoomScale="208" zoomScaleNormal="208" workbookViewId="0">
      <selection activeCell="B1" sqref="B1"/>
    </sheetView>
  </sheetViews>
  <sheetFormatPr defaultRowHeight="15" x14ac:dyDescent="0.25"/>
  <cols>
    <col min="1" max="1" width="11.5703125" bestFit="1" customWidth="1"/>
    <col min="3" max="3" width="10.28515625" bestFit="1" customWidth="1"/>
  </cols>
  <sheetData>
    <row r="1" spans="1:3" x14ac:dyDescent="0.25">
      <c r="A1" s="122">
        <v>2123.0300000000002</v>
      </c>
      <c r="B1" t="s">
        <v>10</v>
      </c>
      <c r="C1" s="122"/>
    </row>
    <row r="2" spans="1:3" x14ac:dyDescent="0.25">
      <c r="A2" s="122">
        <v>-400</v>
      </c>
      <c r="B2" t="s">
        <v>122</v>
      </c>
    </row>
    <row r="3" spans="1:3" x14ac:dyDescent="0.25">
      <c r="A3" s="122">
        <v>-450</v>
      </c>
      <c r="B3" t="s">
        <v>123</v>
      </c>
    </row>
    <row r="4" spans="1:3" x14ac:dyDescent="0.25">
      <c r="A4" s="122">
        <v>-75</v>
      </c>
      <c r="B4" t="s">
        <v>124</v>
      </c>
    </row>
    <row r="5" spans="1:3" x14ac:dyDescent="0.25">
      <c r="A5" s="122">
        <v>-100</v>
      </c>
      <c r="B5" t="s">
        <v>125</v>
      </c>
    </row>
    <row r="6" spans="1:3" x14ac:dyDescent="0.25">
      <c r="A6" s="122">
        <v>-950</v>
      </c>
      <c r="B6" t="s">
        <v>126</v>
      </c>
    </row>
    <row r="7" spans="1:3" x14ac:dyDescent="0.25">
      <c r="A7" s="122">
        <v>-50</v>
      </c>
      <c r="B7" t="s">
        <v>127</v>
      </c>
    </row>
    <row r="8" spans="1:3" x14ac:dyDescent="0.25">
      <c r="A8" s="122">
        <v>0</v>
      </c>
      <c r="B8" t="s">
        <v>129</v>
      </c>
    </row>
    <row r="9" spans="1:3" x14ac:dyDescent="0.25">
      <c r="A9" s="122">
        <f>SUM(A1:A8)</f>
        <v>98.0300000000002</v>
      </c>
      <c r="B9" t="s">
        <v>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Car</vt:lpstr>
      <vt:lpstr>Swimming</vt:lpstr>
      <vt:lpstr>Swim Budget</vt:lpstr>
      <vt:lpstr>Semi-Monthly Transfers</vt:lpstr>
      <vt:lpstr>already_paid</vt:lpstr>
      <vt:lpstr>annual_budget</vt:lpstr>
      <vt:lpstr>hotel_cost</vt:lpstr>
      <vt:lpstr>installments_remain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2017-09-17T18:11:57Z</dcterms:modified>
</cp:coreProperties>
</file>